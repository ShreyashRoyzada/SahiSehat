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hortlist" sheetId="2" state="visible" r:id="rId4"/>
    <sheet name="All reports" sheetId="3" state="visible" r:id="rId5"/>
    <sheet name="QC listings" sheetId="4" state="visible" r:id="rId6"/>
    <sheet name="QC signals" sheetId="5" state="visible" r:id="rId7"/>
    <sheet name="Report hubs" sheetId="6" state="visible" r:id="rId8"/>
    <sheet name="Scoring" sheetId="7" state="visible" r:id="rId9"/>
  </sheets>
  <definedNames>
    <definedName function="false" hidden="false" localSheetId="2" name="_xlnm.Print_Titles" vbProcedure="false">'All reports'!$4:$4</definedName>
    <definedName function="false" hidden="true" localSheetId="2" name="_xlnm._FilterDatabase" vbProcedure="false">'All reports'!$A$4:$AE$249</definedName>
    <definedName function="false" hidden="false" localSheetId="3" name="_xlnm.Print_Titles" vbProcedure="false">'QC listings'!$4:$4</definedName>
    <definedName function="false" hidden="true" localSheetId="3" name="_xlnm._FilterDatabase" vbProcedure="false">'QC listings'!$A$4:$I$114</definedName>
    <definedName function="false" hidden="false" localSheetId="4" name="_xlnm.Print_Titles" vbProcedure="false">'QC signals'!$4:$4</definedName>
    <definedName function="false" hidden="false" localSheetId="5" name="_xlnm.Print_Titles" vbProcedure="false">'Report hubs'!$4:$4</definedName>
    <definedName function="false" hidden="false" localSheetId="1" name="_xlnm.Print_Titles" vbProcedure="false">Shortlist!$4:$4</definedName>
    <definedName function="false" hidden="true" localSheetId="1" name="_xlnm._FilterDatabase" vbProcedure="false">Shortlist!$A$4:$S$43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<sst xmlns="http://schemas.openxmlformats.org/spreadsheetml/2006/main" count="4201" uniqueCount="1762">
  <si>
    <t xml:space="preserve">Public lab reports meet quick-commerce demand: MVP product list</t>
  </si>
  <si>
    <t xml:space="preserve">Built 2 Oct 2026 for the Food Quality Rater MVP. Everything here was read from public web pages on that date. I did not open lab PDFs, buy products or run any test.</t>
  </si>
  <si>
    <t xml:space="preserve">What this is</t>
  </si>
  <si>
    <t xml:space="preserve">Purpose</t>
  </si>
  <si>
    <t xml:space="preserve">A starting list for the MVP: Indian packaged-food and nutrition products whose lab test reports (or lab-backed ratings) are publicly listed, checked against Blinkit, Zepto, Instamart and BigBasket so you can start with products people actually buy.</t>
  </si>
  <si>
    <t xml:space="preserve">Where to look first</t>
  </si>
  <si>
    <t xml:space="preserve">Shortlist: one row per quick-commerce (QC) product line I checked, ranked by QC score.
All reports: every report row from four public sources, filterable.
QC listings: the listing links and ratings counts behind every platform flag.
QC signals: published data on what sells on QC.
Report hubs: where each source keeps its reports and what the terms look like.
Scoring: every weight and threshold. Blue cells are editable and everything recalculates.</t>
  </si>
  <si>
    <t xml:space="preserve">What the data shows</t>
  </si>
  <si>
    <t xml:space="preserve">Trustified is not only supplements. Its list includes mainstream staples and snacks that sell heavily on QC: Amul, Mother Dairy and Country Delight milk, Aashirvaad atta, Tata Salt, MDH and Everest masalas, Kellogg's, Cadbury, Lindt and Amul chocolate, Haldiram's. Many of those carry a Failed verdict, which is where a Trust Report matters most and where the PRD's publication gate applies.</t>
  </si>
  <si>
    <t xml:space="preserve">Key numbers (live formulas)</t>
  </si>
  <si>
    <t xml:space="preserve">Report rows</t>
  </si>
  <si>
    <t xml:space="preserve">  from Trustified Pass/Fail</t>
  </si>
  <si>
    <t xml:space="preserve">  from Trustified NMR (honey)</t>
  </si>
  <si>
    <t xml:space="preserve">  from The Whole Truth's hub</t>
  </si>
  <si>
    <t xml:space="preserve">  from Unbox Health</t>
  </si>
  <si>
    <t xml:space="preserve">Rows marked Passed</t>
  </si>
  <si>
    <t xml:space="preserve">Rows marked Failed</t>
  </si>
  <si>
    <t xml:space="preserve">Rows marked Expired (incl. Unbox)</t>
  </si>
  <si>
    <t xml:space="preserve">Rows on a QC product line I checked</t>
  </si>
  <si>
    <t xml:space="preserve">QC product lines checked</t>
  </si>
  <si>
    <t xml:space="preserve">  of which listed on 3 or more platforms</t>
  </si>
  <si>
    <t xml:space="preserve">  of which the latest report is a Fail</t>
  </si>
  <si>
    <t xml:space="preserve">Highest ratings count seen on a listing</t>
  </si>
  <si>
    <t xml:space="preserve">Maximum possible QC score at current weights</t>
  </si>
  <si>
    <t xml:space="preserve">How the QC score works</t>
  </si>
  <si>
    <t xml:space="preserve">Formula</t>
  </si>
  <si>
    <t xml:space="preserve">QC score = (confirmed platforms x 1 + demand tier x 2) x match factor + 2 if the category is a QC top-seller category + freshness points. Freshness: 2 if the report is under 12 months old, 1 if 12-24 months, 0 if older, 1 if undated, 0 if Expired. Maximum 14 at the default weights. The verdict does not change the score, so a failing product on a best-selling line ranks high on purpose.</t>
  </si>
  <si>
    <t xml:space="preserve">Platform flags (Blinkit to BigBasket)</t>
  </si>
  <si>
    <t xml:space="preserve">Y = a listing page or brand page seen on 2 Oct 2026. ? = only a third-party or cached page; not scored. - = not seen in my checks (not proof it is not sold). Blank = line not checked.</t>
  </si>
  <si>
    <t xml:space="preserve">QC match</t>
  </si>
  <si>
    <t xml:space="preserve">Exact = same product as the tested sample, pack size aside. Same line = same brand line, tested SKU not confirmed on the listing. Variant differs = the brand line is listed but it is a different variant from the one tested. Factors are 1, 0.75 and 0.5.</t>
  </si>
  <si>
    <t xml:space="preserve">Top ratings count</t>
  </si>
  <si>
    <t xml:space="preserve">The highest ratings count on any listing of that line. Cumulative and pooled across packs and pincodes. It is a popularity proxy, not a sales rank; QC apps publish no rank. n/c = no ratings count captured on any listing of that line.</t>
  </si>
  <si>
    <t xml:space="preserve">Primary for line</t>
  </si>
  <si>
    <t xml:space="preserve">1 marks the row that stands for its QC line on the Shortlist: the most recently dated report, first row on a tie. Other rows for the line stay in All reports.</t>
  </si>
  <si>
    <t xml:space="preserve">Verdict</t>
  </si>
  <si>
    <t xml:space="preserve">Trustified's own label (Passed, Failed, Expired, Not recommended; 'No status shown' where the tile has none). 'Report published' means a lab report is public but carries no verdict (Trustified NMR honey tests, The Whole Truth's hub). Unbox rows: Rated = current grade, Expired = shown as Previously Rated, Listed, rating not captured = on Unbox but the grade was not captured.</t>
  </si>
  <si>
    <t xml:space="preserve">Method</t>
  </si>
  <si>
    <t xml:space="preserve">1. Reports</t>
  </si>
  <si>
    <t xml:space="preserve">Read Trustified's public Pass/Fail list, category pages and NMR page, The Whole Truth's batch hub, and Unbox Health's explore pages (grades are visible without login, full reports are not).</t>
  </si>
  <si>
    <t xml:space="preserve">2. QC check</t>
  </si>
  <si>
    <t xml:space="preserve">For lab-tested products that looked like likely sellers, I searched Blinkit, Zepto, Instamart and BigBasket listing pages and recorded the listing, pack, price, ratings count and URL on QC listings. The check covers only the lines in the Shortlist.</t>
  </si>
  <si>
    <t xml:space="preserve">3. Best-seller proxy</t>
  </si>
  <si>
    <t xml:space="preserve">QC platforms publish no sales ranks. I used ratings counts on product pages as a popularity proxy and published category rankings (QC signals) to flag top categories.</t>
  </si>
  <si>
    <t xml:space="preserve">4. Not done</t>
  </si>
  <si>
    <t xml:space="preserve">No lab report was re-verified. Pack size or SKU code, lab accreditation, parameters tested and the reason for any Fail are not captured: they sit inside each report. Trustified and Whole Truth rows are batch-level lab evidence; Unbox rows are a competitor's grade for a bought sample.</t>
  </si>
  <si>
    <t xml:space="preserve">Caveats</t>
  </si>
  <si>
    <t xml:space="preserve">1. Coverage</t>
  </si>
  <si>
    <t xml:space="preserve">QC columns are filled only for the lines checked; blank means not checked. Not yet checked (search rate limit): Daawat Brown Rice, Everest Garam Masala, Epigamia Turbo, Patanjali Cow Ghee and Amul Cheese Cubes.</t>
  </si>
  <si>
    <t xml:space="preserve">2. Older Trustified entries</t>
  </si>
  <si>
    <t xml:space="preserve">Trustified's list continues with about 85 older entries (the ones I sampled are 2023-24 and mostly Expired). I left them out on purpose, so this is not the full Trustified archive.</t>
  </si>
  <si>
    <t xml:space="preserve">3. Snapshot</t>
  </si>
  <si>
    <t xml:space="preserve">Listings, prices and ratings were read on 2 Oct 2026 without a delivery pincode. Availability varies by pincode and changes daily. Zepto and Blinkit pages sometimes show a different pack or variant; QC match and the notes say where.</t>
  </si>
  <si>
    <t xml:space="preserve">4. Reuse terms</t>
  </si>
  <si>
    <t xml:space="preserve">Trustified shows no API or reuse terms. Showing its report content inside the product needs written permission; linking out is the safe default (PRD critical path). Unbox is a direct competitor and gates reports behind a login. Whole Truth reports are the brand's own PDFs; ask before reusing.</t>
  </si>
  <si>
    <t xml:space="preserve">5. Reports are per batch</t>
  </si>
  <si>
    <t xml:space="preserve">A report covers one batch of one SKU. A Pass on one batch is not a verdict on the line. Failed and Not recommended rows need the PRD publication gate (legal check, brand notice, 7-day reply) before anything is shown.</t>
  </si>
  <si>
    <t xml:space="preserve">6. Data quirks</t>
  </si>
  <si>
    <t xml:space="preserve">Three Trustified rows (Farmley Makhana, Noto, Minus 30) carry Jan 2025 publish dates that look earlier than their batch codes imply. MuscleBlaze Iso Zero, MuscleBlaze Performance Whey, Nutrabay Concentrate Whey and As It Is Atom Creatine show no batch or date on the list page. Gritzo age bands read '13 years' on Trustified. A '6.6 lac' ratings card on Blinkit (Amul Masti pouch curd) is read as 660,000.</t>
  </si>
  <si>
    <t xml:space="preserve">Sources</t>
  </si>
  <si>
    <t xml:space="preserve">Trustified Pass/Fail</t>
  </si>
  <si>
    <t xml:space="preserve">https://www.trustified.in/passandfail</t>
  </si>
  <si>
    <t xml:space="preserve">Trustified NMR reports</t>
  </si>
  <si>
    <t xml:space="preserve">https://www.trustified.in/nmr-reports</t>
  </si>
  <si>
    <t xml:space="preserve">Trustified nut butters</t>
  </si>
  <si>
    <t xml:space="preserve">https://www.trustified.in/nut-butters</t>
  </si>
  <si>
    <t xml:space="preserve">Trustified protein bar</t>
  </si>
  <si>
    <t xml:space="preserve">https://www.trustified.in/proteinbar</t>
  </si>
  <si>
    <t xml:space="preserve">Trustified dark chocolate</t>
  </si>
  <si>
    <t xml:space="preserve">https://www.trustified.in/dark-chocolate</t>
  </si>
  <si>
    <t xml:space="preserve">Trustified breakfast cereals</t>
  </si>
  <si>
    <t xml:space="preserve">https://www.trustified.in/items/breakfastcereals</t>
  </si>
  <si>
    <t xml:space="preserve">The Whole Truth lab-report hub</t>
  </si>
  <si>
    <t xml:space="preserve">https://twtprotein.notion.site/Protein-Lab-Test-Reports-1d0fae391f3f4c8f9f398306890cedff</t>
  </si>
  <si>
    <t xml:space="preserve">Unbox Health explore</t>
  </si>
  <si>
    <t xml:space="preserve">https://www.unboxhealth.in/explore</t>
  </si>
  <si>
    <t xml:space="preserve">NewsBytes: Blinkit and Instamart 2024 orders</t>
  </si>
  <si>
    <t xml:space="preserve">https://www.newsbytesapp.com/news/business/chips-colas-condoms-rule-shopping-carts-on-quick-commerce-platforms/story</t>
  </si>
  <si>
    <t xml:space="preserve">afaqs: Zepto 2025 data</t>
  </si>
  <si>
    <t xml:space="preserve">https://www.afaqs.com/news/mktg/zeptos-2025-data-maps-changing-shopping-habits-across-indian-cities-10954599</t>
  </si>
  <si>
    <t xml:space="preserve">BestMediaInfo: Instamart 2025</t>
  </si>
  <si>
    <t xml:space="preserve">https://bestmediainfo.com/insights/gold-iphones-666-roses-a-minute-what-indians-ordered-on-instamart-in-2025-might-surprise-you-10930811</t>
  </si>
  <si>
    <t xml:space="preserve">Media4Growth: Blinkit billboards</t>
  </si>
  <si>
    <t xml:space="preserve">https://www.media4growth.com/showcase/campaigns/blinkit-turns-indias-shopping-data-into-year-end-ooh-humour-81597</t>
  </si>
  <si>
    <t xml:space="preserve">MetricsCart: protein bars on Zepto vs Blinkit</t>
  </si>
  <si>
    <t xml:space="preserve">https://metricscart.com/insights/protein-bars-on-zepto-vs-blinkit/</t>
  </si>
  <si>
    <t xml:space="preserve">Bloomberg: India instant shopping</t>
  </si>
  <si>
    <t xml:space="preserve">https://www.bloomberg.com/features/2025-India-instant-shopping/</t>
  </si>
  <si>
    <t xml:space="preserve">CIIM: QC market share estimate</t>
  </si>
  <si>
    <t xml:space="preserve">https://www.ciim.in/zepto-vs-blinkit-vs-instamart-market-share-revenue-profit-a-case-study-2024-20265/</t>
  </si>
  <si>
    <t xml:space="preserve">Listing pages</t>
  </si>
  <si>
    <t xml:space="preserve">See the QC listings sheet: one URL per row.</t>
  </si>
  <si>
    <t xml:space="preserve">Suggested next steps</t>
  </si>
  <si>
    <t xml:space="preserve">1</t>
  </si>
  <si>
    <t xml:space="preserve">Settle the Trustified licence question first; it is the critical path in the PRD. Until then, link out only.</t>
  </si>
  <si>
    <t xml:space="preserve">2</t>
  </si>
  <si>
    <t xml:space="preserve">Run the unchecked lines and the biggest-selling untested-on-QC rows through the same listing check.</t>
  </si>
  <si>
    <t xml:space="preserve">3</t>
  </si>
  <si>
    <t xml:space="preserve">Re-check the top Shortlist lines in each app with a real delivery pincode before relying on any flag.</t>
  </si>
  <si>
    <t xml:space="preserve">Shortlist: quick-commerce product lines with a public lab report, ranked by QC score</t>
  </si>
  <si>
    <t xml:space="preserve">One row per product line I checked on Blinkit, Zepto, Instamart and BigBasket. Each line is represented by its most recent dated report. Weights and thresholds: Scoring sheet. Verdicts do not change the rank.</t>
  </si>
  <si>
    <t xml:space="preserve">QC rank</t>
  </si>
  <si>
    <t xml:space="preserve">Brand</t>
  </si>
  <si>
    <t xml:space="preserve">Product (as listed by the report source)</t>
  </si>
  <si>
    <t xml:space="preserve">Category</t>
  </si>
  <si>
    <t xml:space="preserve">Report date</t>
  </si>
  <si>
    <t xml:space="preserve">Lab</t>
  </si>
  <si>
    <t xml:space="preserve">Batch tested</t>
  </si>
  <si>
    <t xml:space="preserve">Source</t>
  </si>
  <si>
    <t xml:space="preserve">Platforms with a listing</t>
  </si>
  <si>
    <t xml:space="preserve">Demand tier (0-3)</t>
  </si>
  <si>
    <t xml:space="preserve">QC score</t>
  </si>
  <si>
    <t xml:space="preserve">Other report rows for this line</t>
  </si>
  <si>
    <t xml:space="preserve">Report</t>
  </si>
  <si>
    <t xml:space="preserve">QC listing</t>
  </si>
  <si>
    <t xml:space="preserve">Publish route</t>
  </si>
  <si>
    <t xml:space="preserve">Helper: row in All reports</t>
  </si>
  <si>
    <t xml:space="preserve">All lab-report rows (one row per published report or rating)</t>
  </si>
  <si>
    <t xml:space="preserve">Sources: Trustified Pass/Fail and NMR pages, The Whole Truth's batch hub, Unbox Health. Filter on any column. From 'QC key' onwards the columns are the quick-commerce overlay and scoring; weights are on the Scoring sheet.</t>
  </si>
  <si>
    <t xml:space="preserve">Product</t>
  </si>
  <si>
    <t xml:space="preserve">Lab report</t>
  </si>
  <si>
    <t xml:space="preserve">Quick-commerce listing check (2 Oct 2026)</t>
  </si>
  <si>
    <t xml:space="preserve">Demand and score</t>
  </si>
  <si>
    <t xml:space="preserve">Access and notes</t>
  </si>
  <si>
    <t xml:space="preserve">Helper</t>
  </si>
  <si>
    <t xml:space="preserve">ID</t>
  </si>
  <si>
    <t xml:space="preserve">Segment</t>
  </si>
  <si>
    <t xml:space="preserve">Unbox rating</t>
  </si>
  <si>
    <t xml:space="preserve">Report link</t>
  </si>
  <si>
    <t xml:space="preserve">QC key</t>
  </si>
  <si>
    <t xml:space="preserve">Blinkit</t>
  </si>
  <si>
    <t xml:space="preserve">Zepto</t>
  </si>
  <si>
    <t xml:space="preserve">Instamart</t>
  </si>
  <si>
    <t xml:space="preserve">BigBasket</t>
  </si>
  <si>
    <t xml:space="preserve">QC platforms</t>
  </si>
  <si>
    <t xml:space="preserve">Demand tier</t>
  </si>
  <si>
    <t xml:space="preserve">QC category</t>
  </si>
  <si>
    <t xml:space="preserve">Report age (months)</t>
  </si>
  <si>
    <t xml:space="preserve">Freshness</t>
  </si>
  <si>
    <t xml:space="preserve">Access</t>
  </si>
  <si>
    <t xml:space="preserve">Notes</t>
  </si>
  <si>
    <t xml:space="preserve">Sort key (helper)</t>
  </si>
  <si>
    <t xml:space="preserve">R001</t>
  </si>
  <si>
    <t xml:space="preserve">Amul</t>
  </si>
  <si>
    <t xml:space="preserve">Gold Milk</t>
  </si>
  <si>
    <t xml:space="preserve">Everyday food</t>
  </si>
  <si>
    <t xml:space="preserve">Milk</t>
  </si>
  <si>
    <t xml:space="preserve">Failed</t>
  </si>
  <si>
    <t xml:space="preserve">SR26DM</t>
  </si>
  <si>
    <t xml:space="preserve">Eurofins</t>
  </si>
  <si>
    <t xml:space="preserve">https://www.trustified.in/passandfail/amulgoldmilk</t>
  </si>
  <si>
    <t xml:space="preserve">AMUL-GOLD</t>
  </si>
  <si>
    <t xml:space="preserve">Exact</t>
  </si>
  <si>
    <t xml:space="preserve">Open</t>
  </si>
  <si>
    <t xml:space="preserve">Link out; licence needed to display; run the PRD publication gate first (negative verdict)</t>
  </si>
  <si>
    <t xml:space="preserve">QC: Instamart listing not seen in my checks.</t>
  </si>
  <si>
    <t xml:space="preserve">R002</t>
  </si>
  <si>
    <t xml:space="preserve">Taaza Homogenised Toned Milk</t>
  </si>
  <si>
    <t xml:space="preserve">Passed</t>
  </si>
  <si>
    <t xml:space="preserve">MAC2691</t>
  </si>
  <si>
    <t xml:space="preserve">https://www.trustified.in/passandfail/amulHomogenisedmilk</t>
  </si>
  <si>
    <t xml:space="preserve">AMUL-TAAZA</t>
  </si>
  <si>
    <t xml:space="preserve">Link out; Trustified's written licence needed to display the report</t>
  </si>
  <si>
    <t xml:space="preserve">R003</t>
  </si>
  <si>
    <t xml:space="preserve">Taaza Milky Milk</t>
  </si>
  <si>
    <t xml:space="preserve">SR07FM1228</t>
  </si>
  <si>
    <t xml:space="preserve">https://www.trustified.in/passandfail/amultaazamilk</t>
  </si>
  <si>
    <t xml:space="preserve">R004</t>
  </si>
  <si>
    <t xml:space="preserve">Country Delight</t>
  </si>
  <si>
    <t xml:space="preserve">Cow Milk</t>
  </si>
  <si>
    <t xml:space="preserve">DJCMG</t>
  </si>
  <si>
    <t xml:space="preserve">https://www.trustified.in/passandfail/countrydelightmilk</t>
  </si>
  <si>
    <t xml:space="preserve">CD-COW</t>
  </si>
  <si>
    <t xml:space="preserve">QC: BigBasket listing not seen in my checks.</t>
  </si>
  <si>
    <t xml:space="preserve">R005</t>
  </si>
  <si>
    <t xml:space="preserve">Mother Dairy</t>
  </si>
  <si>
    <t xml:space="preserve">(05)05NOV25SZ5M</t>
  </si>
  <si>
    <t xml:space="preserve">https://www.trustified.in/passandfail/motherdairymilk</t>
  </si>
  <si>
    <t xml:space="preserve">MD-COW</t>
  </si>
  <si>
    <t xml:space="preserve">R006</t>
  </si>
  <si>
    <t xml:space="preserve">Masti Dahi</t>
  </si>
  <si>
    <t xml:space="preserve">Curd &amp; yoghurt</t>
  </si>
  <si>
    <t xml:space="preserve">SR04CM</t>
  </si>
  <si>
    <t xml:space="preserve">https://www.trustified.in/passandfail/mastidahipouch</t>
  </si>
  <si>
    <t xml:space="preserve">AMUL-DAHI-POUCH</t>
  </si>
  <si>
    <t xml:space="preserve">QC: Blinkit card shows '6.6 lac'; read as 660,000 ratings (assumed). Other platforms not checked.</t>
  </si>
  <si>
    <t xml:space="preserve">R007</t>
  </si>
  <si>
    <t xml:space="preserve">Masti Dahi Cup</t>
  </si>
  <si>
    <t xml:space="preserve">MPC 338/01</t>
  </si>
  <si>
    <t xml:space="preserve">https://www.trustified.in/passandfail/mastidahicup</t>
  </si>
  <si>
    <t xml:space="preserve">AMUL-DAHI-CUP</t>
  </si>
  <si>
    <t xml:space="preserve">QC: Zepto listing seen is a tub, not the cup pack. Blinkit and Instamart not seen.</t>
  </si>
  <si>
    <t xml:space="preserve">R008</t>
  </si>
  <si>
    <t xml:space="preserve">Epigamia</t>
  </si>
  <si>
    <t xml:space="preserve">Turbo 50 g</t>
  </si>
  <si>
    <t xml:space="preserve">J00131</t>
  </si>
  <si>
    <t xml:space="preserve">https://www.trustified.in/passandfail/epigamiayoughurt50</t>
  </si>
  <si>
    <t xml:space="preserve">R009</t>
  </si>
  <si>
    <t xml:space="preserve">Beyond Snack</t>
  </si>
  <si>
    <t xml:space="preserve">Kerala Banana Chips</t>
  </si>
  <si>
    <t xml:space="preserve">Packaged snacks</t>
  </si>
  <si>
    <t xml:space="preserve">Listed, rating not captured</t>
  </si>
  <si>
    <t xml:space="preserve">NABL labs (up to 3 per sample)</t>
  </si>
  <si>
    <t xml:space="preserve">Unbox Health</t>
  </si>
  <si>
    <t xml:space="preserve">https://www.unboxhealth.in/explore/product/7b605075-0bb8-4064-937e-de95e33c6672</t>
  </si>
  <si>
    <t xml:space="preserve">Free login for full report</t>
  </si>
  <si>
    <t xml:space="preserve">Competitor rating: link out only; full report needs a free login</t>
  </si>
  <si>
    <t xml:space="preserve">R010</t>
  </si>
  <si>
    <t xml:space="preserve">Farmley</t>
  </si>
  <si>
    <t xml:space="preserve">Makhana</t>
  </si>
  <si>
    <t xml:space="preserve">CO77G141125B</t>
  </si>
  <si>
    <t xml:space="preserve">https://www.trustified.in/passandfail/farmleymakhana</t>
  </si>
  <si>
    <t xml:space="preserve">Check the date: the published date (Jan 2025) looks earlier than the batch code implies</t>
  </si>
  <si>
    <t xml:space="preserve">R011</t>
  </si>
  <si>
    <t xml:space="preserve">Haldiram's</t>
  </si>
  <si>
    <t xml:space="preserve">Salted Peanuts</t>
  </si>
  <si>
    <t xml:space="preserve">24018</t>
  </si>
  <si>
    <t xml:space="preserve">https://www.trustified.in/passandfail/haldiramspeanuts</t>
  </si>
  <si>
    <t xml:space="preserve">HALDIRAMS-PEANUT</t>
  </si>
  <si>
    <t xml:space="preserve">R012</t>
  </si>
  <si>
    <t xml:space="preserve">Lay's</t>
  </si>
  <si>
    <t xml:space="preserve">India's Magic Masala Potato Chips</t>
  </si>
  <si>
    <t xml:space="preserve">Rated</t>
  </si>
  <si>
    <t xml:space="preserve">7.4 / 10</t>
  </si>
  <si>
    <t xml:space="preserve">https://www.unboxhealth.in/explore/product/lays-potato-chips---indias-magic-masala/c7bdd404-97eb-4470-812d-d4fc4a68c944</t>
  </si>
  <si>
    <t xml:space="preserve">Score 7.4 out of 10; letter grade not captured</t>
  </si>
  <si>
    <t xml:space="preserve">R013</t>
  </si>
  <si>
    <t xml:space="preserve">RiteBite</t>
  </si>
  <si>
    <t xml:space="preserve">Max Protein Chips – Cheese Jalapeno</t>
  </si>
  <si>
    <t xml:space="preserve">B+ · 8.6</t>
  </si>
  <si>
    <t xml:space="preserve">https://www.unboxhealth.in/explore/product/ritebite-max-protein-cheese-jalapeno-chips/b733c200-c16b-4468-9c91-0cea00930364</t>
  </si>
  <si>
    <t xml:space="preserve">R014</t>
  </si>
  <si>
    <t xml:space="preserve">Snackible</t>
  </si>
  <si>
    <t xml:space="preserve">Ragi Chips – Peri Peri</t>
  </si>
  <si>
    <t xml:space="preserve">https://www.unboxhealth.in/explore/product/3dfb3950-582e-4b56-ba0b-0c2391329388</t>
  </si>
  <si>
    <t xml:space="preserve">R015</t>
  </si>
  <si>
    <t xml:space="preserve">SuperYou</t>
  </si>
  <si>
    <t xml:space="preserve">Multigrain Protein Chips – Sour Cream &amp; Onion</t>
  </si>
  <si>
    <t xml:space="preserve">B · 8.4</t>
  </si>
  <si>
    <t xml:space="preserve">https://www.unboxhealth.in/explore/product/superyou-multigrain-protein-chips-sour-cream-onion/4c5f0fc0-347f-40ee-9ec8-348e967804b5</t>
  </si>
  <si>
    <t xml:space="preserve">R016</t>
  </si>
  <si>
    <t xml:space="preserve">Taali</t>
  </si>
  <si>
    <t xml:space="preserve">Jowar Protein Puffs – Masala Mania</t>
  </si>
  <si>
    <t xml:space="preserve">A · 9.3</t>
  </si>
  <si>
    <t xml:space="preserve">https://www.unboxhealth.in/explore/product/taali-jowar-protein-puffs-masala-mania/9f25514e-fea0-4fce-8e84-999aea95b452</t>
  </si>
  <si>
    <t xml:space="preserve">R017</t>
  </si>
  <si>
    <t xml:space="preserve">Too Yumm</t>
  </si>
  <si>
    <t xml:space="preserve">Spicy Chilli Wafers (potato chips)</t>
  </si>
  <si>
    <t xml:space="preserve">C · 7.5</t>
  </si>
  <si>
    <t xml:space="preserve">https://www.unboxhealth.in/explore/product/too-yumm-spicy-chilli-wafers-potato-chips/8c2e8764-4b6a-4370-b2bd-ce354f3f66a6</t>
  </si>
  <si>
    <t xml:space="preserve">R018</t>
  </si>
  <si>
    <t xml:space="preserve">Minus 30</t>
  </si>
  <si>
    <t xml:space="preserve">Mini Vegan &amp; Sugar Free</t>
  </si>
  <si>
    <t xml:space="preserve">Ice cream</t>
  </si>
  <si>
    <t xml:space="preserve">6</t>
  </si>
  <si>
    <t xml:space="preserve">https://www.trustified.in/passandfail/minus30icecream</t>
  </si>
  <si>
    <t xml:space="preserve">R019</t>
  </si>
  <si>
    <t xml:space="preserve">Noto</t>
  </si>
  <si>
    <t xml:space="preserve">Ice cream Dark Chocolate</t>
  </si>
  <si>
    <t xml:space="preserve">N15042609</t>
  </si>
  <si>
    <t xml:space="preserve">https://www.trustified.in/passandfail/notoicecream</t>
  </si>
  <si>
    <t xml:space="preserve">R020</t>
  </si>
  <si>
    <t xml:space="preserve">Butter</t>
  </si>
  <si>
    <t xml:space="preserve">Butter, paneer &amp; cheese</t>
  </si>
  <si>
    <t xml:space="preserve">SAN3211</t>
  </si>
  <si>
    <t xml:space="preserve">https://www.trustified.in/passandfail/amulbutter</t>
  </si>
  <si>
    <t xml:space="preserve">AMUL-BUTTER</t>
  </si>
  <si>
    <t xml:space="preserve">QC: Instamart evidence is a third-party page dated 19 Jun 2026, so flagged '?'. afaqs reported a 500 g shortage in Surat/Gujarat; fake-butter claims unverified.</t>
  </si>
  <si>
    <t xml:space="preserve">R021</t>
  </si>
  <si>
    <t xml:space="preserve">Cheese Cubes</t>
  </si>
  <si>
    <t xml:space="preserve">BAN3662,BAN2712</t>
  </si>
  <si>
    <t xml:space="preserve">https://www.trustified.in/passandfail/amulcheesecubes</t>
  </si>
  <si>
    <t xml:space="preserve">R022</t>
  </si>
  <si>
    <t xml:space="preserve">Paneer</t>
  </si>
  <si>
    <t xml:space="preserve">MPC 018A</t>
  </si>
  <si>
    <t xml:space="preserve">https://www.trustified.in/passandfail/amulpaneer</t>
  </si>
  <si>
    <t xml:space="preserve">AMUL-PANEER</t>
  </si>
  <si>
    <t xml:space="preserve">Same line</t>
  </si>
  <si>
    <t xml:space="preserve">R023</t>
  </si>
  <si>
    <t xml:space="preserve">Aashirvaad</t>
  </si>
  <si>
    <t xml:space="preserve">Organic Cow Ghee</t>
  </si>
  <si>
    <t xml:space="preserve">Ghee</t>
  </si>
  <si>
    <t xml:space="preserve">https://www.unboxhealth.in/explore/product/ceb7eace-c8ba-49e5-a2cd-0dd8d881f5df</t>
  </si>
  <si>
    <t xml:space="preserve">AASHIRVAAD-GHEE</t>
  </si>
  <si>
    <t xml:space="preserve">Variant differs</t>
  </si>
  <si>
    <t xml:space="preserve">QC: Listings are Svasti and Select cow ghee; Blinkit not seen.</t>
  </si>
  <si>
    <t xml:space="preserve">R024</t>
  </si>
  <si>
    <t xml:space="preserve">Svasti Pure Cow Ghee</t>
  </si>
  <si>
    <t xml:space="preserve">KCGA14ECP</t>
  </si>
  <si>
    <t xml:space="preserve">https://www.trustified.in/passandfail/ashirvaadghee</t>
  </si>
  <si>
    <t xml:space="preserve">R025</t>
  </si>
  <si>
    <t xml:space="preserve">Cow Ghee</t>
  </si>
  <si>
    <t xml:space="preserve">MVN2722A</t>
  </si>
  <si>
    <t xml:space="preserve">https://www.trustified.in/passandfail/amulghee</t>
  </si>
  <si>
    <t xml:space="preserve">AMUL-GHEE</t>
  </si>
  <si>
    <t xml:space="preserve">QC: Blinkit lists only Amul Pure Ghee (buffalo, prid/15520), not counted.</t>
  </si>
  <si>
    <t xml:space="preserve">R026</t>
  </si>
  <si>
    <t xml:space="preserve">High Aroma Cow Ghee</t>
  </si>
  <si>
    <t xml:space="preserve">https://www.unboxhealth.in/explore/product/dc334a51-2a93-4257-be64-178a33956e2b</t>
  </si>
  <si>
    <t xml:space="preserve">R027</t>
  </si>
  <si>
    <t xml:space="preserve">Desi Cow Ghee</t>
  </si>
  <si>
    <t xml:space="preserve">https://www.unboxhealth.in/explore/product/1b38aa3a-6707-49d8-b956-5c7c581a949f</t>
  </si>
  <si>
    <t xml:space="preserve">R028</t>
  </si>
  <si>
    <t xml:space="preserve">Desi Danedar Ghee</t>
  </si>
  <si>
    <t xml:space="preserve">DPDG039</t>
  </si>
  <si>
    <t xml:space="preserve">https://www.trustified.in/passandfail/Countrydelightghee</t>
  </si>
  <si>
    <t xml:space="preserve">R029</t>
  </si>
  <si>
    <t xml:space="preserve">Organic India</t>
  </si>
  <si>
    <t xml:space="preserve">Cow Ghee (2024)</t>
  </si>
  <si>
    <t xml:space="preserve">https://www.unboxhealth.in/explore/product/b89ecab2-2626-4946-9650-593f54970dd8</t>
  </si>
  <si>
    <t xml:space="preserve">R030</t>
  </si>
  <si>
    <t xml:space="preserve">https://www.unboxhealth.in/explore/product/36f4c341-54a9-4b14-a77e-31c9bf7ceb1d</t>
  </si>
  <si>
    <t xml:space="preserve">R031</t>
  </si>
  <si>
    <t xml:space="preserve">Patanjali</t>
  </si>
  <si>
    <t xml:space="preserve">Cow's Ghee</t>
  </si>
  <si>
    <t xml:space="preserve">NAWC250164</t>
  </si>
  <si>
    <t xml:space="preserve">https://www.trustified.in/passandfail/patanjalighee</t>
  </si>
  <si>
    <t xml:space="preserve">R032</t>
  </si>
  <si>
    <t xml:space="preserve">Vedic</t>
  </si>
  <si>
    <t xml:space="preserve">A2 Gir Cow Ghee</t>
  </si>
  <si>
    <t xml:space="preserve">https://www.unboxhealth.in/explore/product/f1e1a714-059f-4583-bef1-67bb8afafb00</t>
  </si>
  <si>
    <t xml:space="preserve">Unbox brand score 10/10</t>
  </si>
  <si>
    <t xml:space="preserve">R033</t>
  </si>
  <si>
    <t xml:space="preserve">Superior MP Atta</t>
  </si>
  <si>
    <t xml:space="preserve">Atta, rice &amp; salt</t>
  </si>
  <si>
    <t xml:space="preserve">04A72904</t>
  </si>
  <si>
    <t xml:space="preserve">https://www.trustified.in/passandfail/aashirvaadatta</t>
  </si>
  <si>
    <t xml:space="preserve">AASHIRVAAD-ATTA</t>
  </si>
  <si>
    <t xml:space="preserve">R034</t>
  </si>
  <si>
    <t xml:space="preserve">Daawat</t>
  </si>
  <si>
    <t xml:space="preserve">Brown Rice</t>
  </si>
  <si>
    <t xml:space="preserve">B160048520</t>
  </si>
  <si>
    <t xml:space="preserve">https://www.trustified.in/passandfail/daawatrice</t>
  </si>
  <si>
    <t xml:space="preserve">R035</t>
  </si>
  <si>
    <t xml:space="preserve">India Gate</t>
  </si>
  <si>
    <t xml:space="preserve">Feast Rozzana Basmati Rice</t>
  </si>
  <si>
    <t xml:space="preserve">BW52E24400</t>
  </si>
  <si>
    <t xml:space="preserve">https://www.trustified.in/passandfail/indiagatebasmatirice</t>
  </si>
  <si>
    <t xml:space="preserve">INDIAGATE-FEAST</t>
  </si>
  <si>
    <t xml:space="preserve">QC: Blinkit listing not seen in my checks.</t>
  </si>
  <si>
    <t xml:space="preserve">R036</t>
  </si>
  <si>
    <t xml:space="preserve">Tata</t>
  </si>
  <si>
    <t xml:space="preserve">Tata Salt</t>
  </si>
  <si>
    <t xml:space="preserve">PU</t>
  </si>
  <si>
    <t xml:space="preserve">https://www.trustified.in/passandfail/tatasalt</t>
  </si>
  <si>
    <t xml:space="preserve">TATA-SALT</t>
  </si>
  <si>
    <t xml:space="preserve">R037</t>
  </si>
  <si>
    <t xml:space="preserve">Fortune</t>
  </si>
  <si>
    <t xml:space="preserve">Kachi Ghani Pure Mustard Oil</t>
  </si>
  <si>
    <t xml:space="preserve">Cooking oil</t>
  </si>
  <si>
    <t xml:space="preserve">(AB)KM09N05</t>
  </si>
  <si>
    <t xml:space="preserve">https://www.trustified.in/passandfail/fortunemustardoil</t>
  </si>
  <si>
    <t xml:space="preserve">FORTUNE-MUSTARD</t>
  </si>
  <si>
    <t xml:space="preserve">Verdict taken from the Pass/Fail tile; the status line on the list page is blank; QC: Instamart not seen.</t>
  </si>
  <si>
    <t xml:space="preserve">R038</t>
  </si>
  <si>
    <t xml:space="preserve">Jivo</t>
  </si>
  <si>
    <t xml:space="preserve">Extra Light Olive Oil</t>
  </si>
  <si>
    <t xml:space="preserve">007676.28</t>
  </si>
  <si>
    <t xml:space="preserve">https://www.trustified.in/passandfail/jivooliveoil</t>
  </si>
  <si>
    <t xml:space="preserve">R039</t>
  </si>
  <si>
    <t xml:space="preserve">Extra Virgin Olive Oil</t>
  </si>
  <si>
    <t xml:space="preserve">https://www.unboxhealth.in/explore/product/799dab45-406f-48cf-9bde-2161b333057b</t>
  </si>
  <si>
    <t xml:space="preserve">R040</t>
  </si>
  <si>
    <t xml:space="preserve">Soya Chunks</t>
  </si>
  <si>
    <t xml:space="preserve">Soya &amp; protein flour</t>
  </si>
  <si>
    <t xml:space="preserve">(VA) CK56M12</t>
  </si>
  <si>
    <t xml:space="preserve">https://www.trustified.in/passandfail/fortunesoyachunks</t>
  </si>
  <si>
    <t xml:space="preserve">FORTUNE-SOYA</t>
  </si>
  <si>
    <t xml:space="preserve">QC: Blinkit 'mini chunks' card (38,641 ratings) is a different variant, not counted. Instamart not seen.</t>
  </si>
  <si>
    <t xml:space="preserve">R041</t>
  </si>
  <si>
    <t xml:space="preserve">Mill'd</t>
  </si>
  <si>
    <t xml:space="preserve">High Protein Flour</t>
  </si>
  <si>
    <t xml:space="preserve">IYI2AE</t>
  </si>
  <si>
    <t xml:space="preserve">https://www.trustified.in/passandfail/milldproteinflour</t>
  </si>
  <si>
    <t xml:space="preserve">R042</t>
  </si>
  <si>
    <t xml:space="preserve">Nutrela</t>
  </si>
  <si>
    <t xml:space="preserve">TC04L01A</t>
  </si>
  <si>
    <t xml:space="preserve">https://www.trustified.in/passandfail/nutrelasoyachunks</t>
  </si>
  <si>
    <t xml:space="preserve">R043</t>
  </si>
  <si>
    <t xml:space="preserve">Britannia</t>
  </si>
  <si>
    <t xml:space="preserve">100% Whole Wheat Bread</t>
  </si>
  <si>
    <t xml:space="preserve">Bread</t>
  </si>
  <si>
    <t xml:space="preserve">M3S28</t>
  </si>
  <si>
    <t xml:space="preserve">https://www.trustified.in/passandfail/britanniawholebread</t>
  </si>
  <si>
    <t xml:space="preserve">BRITANNIA-WW</t>
  </si>
  <si>
    <t xml:space="preserve">QC: Listings now read 'Zero Maida' / 'rich in dietary fibre' (renamed). Zepto not seen.</t>
  </si>
  <si>
    <t xml:space="preserve">R044</t>
  </si>
  <si>
    <t xml:space="preserve">DMart</t>
  </si>
  <si>
    <t xml:space="preserve">Haldi Powder</t>
  </si>
  <si>
    <t xml:space="preserve">Spices &amp; masala</t>
  </si>
  <si>
    <t xml:space="preserve">BT09K50080</t>
  </si>
  <si>
    <t xml:space="preserve">https://www.trustified.in/passandfail/Dmarthaldipowder</t>
  </si>
  <si>
    <t xml:space="preserve">R045</t>
  </si>
  <si>
    <t xml:space="preserve">Red Chilli Powder</t>
  </si>
  <si>
    <t xml:space="preserve">OG19J50103</t>
  </si>
  <si>
    <t xml:space="preserve">https://www.trustified.in/passandfail/dmartredchillipowder</t>
  </si>
  <si>
    <t xml:space="preserve">R046</t>
  </si>
  <si>
    <t xml:space="preserve">Everest</t>
  </si>
  <si>
    <t xml:space="preserve">Garam Masala</t>
  </si>
  <si>
    <t xml:space="preserve">E14N671157</t>
  </si>
  <si>
    <t xml:space="preserve">https://www.trustified.in/passandfail/everestgarammasala</t>
  </si>
  <si>
    <t xml:space="preserve">R047</t>
  </si>
  <si>
    <t xml:space="preserve">Kashmirilal Mirch</t>
  </si>
  <si>
    <t xml:space="preserve">E280674318</t>
  </si>
  <si>
    <t xml:space="preserve">https://www.trustified.in/passandfail/everestkashmirilalmirch</t>
  </si>
  <si>
    <t xml:space="preserve">EVEREST-KMIRCH</t>
  </si>
  <si>
    <t xml:space="preserve">R048</t>
  </si>
  <si>
    <t xml:space="preserve">Kitchen King Masala</t>
  </si>
  <si>
    <t xml:space="preserve">E09D669081</t>
  </si>
  <si>
    <t xml:space="preserve">https://www.trustified.in/passandfail/everestkitchenkingmasala</t>
  </si>
  <si>
    <t xml:space="preserve">R049</t>
  </si>
  <si>
    <t xml:space="preserve">Meat Masala</t>
  </si>
  <si>
    <t xml:space="preserve">E12D660803</t>
  </si>
  <si>
    <t xml:space="preserve">https://www.trustified.in/passandfail/everestmeatmasala</t>
  </si>
  <si>
    <t xml:space="preserve">R050</t>
  </si>
  <si>
    <t xml:space="preserve">Maggi</t>
  </si>
  <si>
    <t xml:space="preserve">Masala-ae-Magic</t>
  </si>
  <si>
    <t xml:space="preserve">50580455AA-M</t>
  </si>
  <si>
    <t xml:space="preserve">https://www.trustified.in/passandfail/magicamasala</t>
  </si>
  <si>
    <t xml:space="preserve">MAGGI-MAGIC</t>
  </si>
  <si>
    <t xml:space="preserve">R051</t>
  </si>
  <si>
    <t xml:space="preserve">MDH</t>
  </si>
  <si>
    <t xml:space="preserve">Biryani Masala</t>
  </si>
  <si>
    <t xml:space="preserve">FA-006</t>
  </si>
  <si>
    <t xml:space="preserve">https://www.trustified.in/passandfail/mdhbiryanimasala</t>
  </si>
  <si>
    <t xml:space="preserve">R052</t>
  </si>
  <si>
    <t xml:space="preserve">Chunky Chat Masala</t>
  </si>
  <si>
    <t xml:space="preserve">RJ-098</t>
  </si>
  <si>
    <t xml:space="preserve">https://www.trustified.in/passandfail/mdhchunkychatmasala</t>
  </si>
  <si>
    <t xml:space="preserve">R053</t>
  </si>
  <si>
    <t xml:space="preserve">Deggi Mirch</t>
  </si>
  <si>
    <t xml:space="preserve">FA-359</t>
  </si>
  <si>
    <t xml:space="preserve">https://www.trustified.in/passandfail/mdhdeggimirch</t>
  </si>
  <si>
    <t xml:space="preserve">MDH-DEGGI</t>
  </si>
  <si>
    <t xml:space="preserve">R054</t>
  </si>
  <si>
    <t xml:space="preserve">RJ-092</t>
  </si>
  <si>
    <t xml:space="preserve">https://www.trustified.in/passandfail/mdhgarammasala</t>
  </si>
  <si>
    <t xml:space="preserve">R055</t>
  </si>
  <si>
    <t xml:space="preserve">Kitchen King</t>
  </si>
  <si>
    <t xml:space="preserve">RJ-090</t>
  </si>
  <si>
    <t xml:space="preserve">https://www.trustified.in/passandfail/mdhkitchenking</t>
  </si>
  <si>
    <t xml:space="preserve">R056</t>
  </si>
  <si>
    <t xml:space="preserve">Bevzilla</t>
  </si>
  <si>
    <t xml:space="preserve">Premium Classic Coffee</t>
  </si>
  <si>
    <t xml:space="preserve">Tea &amp; coffee</t>
  </si>
  <si>
    <t xml:space="preserve">2918F25</t>
  </si>
  <si>
    <t xml:space="preserve">https://www.trustified.in/passandfail/Bevzillaclassiccoffee</t>
  </si>
  <si>
    <t xml:space="preserve">R057</t>
  </si>
  <si>
    <t xml:space="preserve">Premium Coffee</t>
  </si>
  <si>
    <t xml:space="preserve">27C25</t>
  </si>
  <si>
    <t xml:space="preserve">https://www.trustified.in/passandfail/bevzillapremiumcoffee</t>
  </si>
  <si>
    <t xml:space="preserve">R058</t>
  </si>
  <si>
    <t xml:space="preserve">Brooke Bond</t>
  </si>
  <si>
    <t xml:space="preserve">Taaza Tea</t>
  </si>
  <si>
    <t xml:space="preserve">E14B</t>
  </si>
  <si>
    <t xml:space="preserve">https://www.trustified.in/passandfail/taazatea</t>
  </si>
  <si>
    <t xml:space="preserve">BB-TAAZA</t>
  </si>
  <si>
    <t xml:space="preserve">QC: Instamart not seen.</t>
  </si>
  <si>
    <t xml:space="preserve">R059</t>
  </si>
  <si>
    <t xml:space="preserve">Nescafé</t>
  </si>
  <si>
    <t xml:space="preserve">Classic</t>
  </si>
  <si>
    <t xml:space="preserve">43310452CA</t>
  </si>
  <si>
    <t xml:space="preserve">https://www.trustified.in/passandfail/nescafeclassic</t>
  </si>
  <si>
    <t xml:space="preserve">NESCAFE-CLASSIC</t>
  </si>
  <si>
    <t xml:space="preserve">QC: Instamart evidence is a 180 g bundle with a mug.</t>
  </si>
  <si>
    <t xml:space="preserve">R060</t>
  </si>
  <si>
    <t xml:space="preserve">VS Mani &amp; Co</t>
  </si>
  <si>
    <t xml:space="preserve">Signature Instant Coffee</t>
  </si>
  <si>
    <t xml:space="preserve">IC1-040625</t>
  </si>
  <si>
    <t xml:space="preserve">https://www.trustified.in/passandfail/vsmanicoffee</t>
  </si>
  <si>
    <t xml:space="preserve">R061</t>
  </si>
  <si>
    <t xml:space="preserve">Alpino</t>
  </si>
  <si>
    <t xml:space="preserve">Protein Oats</t>
  </si>
  <si>
    <t xml:space="preserve">Breakfast cereal &amp; oats</t>
  </si>
  <si>
    <t xml:space="preserve">https://www.unboxhealth.in/explore/product/ca37d7b1-d997-4651-aa9e-41d987353428</t>
  </si>
  <si>
    <t xml:space="preserve">R062</t>
  </si>
  <si>
    <t xml:space="preserve">Bagrry's</t>
  </si>
  <si>
    <t xml:space="preserve">Jumbo Rolled Oats</t>
  </si>
  <si>
    <t xml:space="preserve">https://www.unboxhealth.in/explore/product/fe1a8b27-7ae2-43ad-ac04-5e4a3052bb80</t>
  </si>
  <si>
    <t xml:space="preserve">R063</t>
  </si>
  <si>
    <t xml:space="preserve">Kellogg's</t>
  </si>
  <si>
    <t xml:space="preserve">Chocos Whole Grain</t>
  </si>
  <si>
    <t xml:space="preserve">https://www.unboxhealth.in/explore/product/d9405d82-09d5-418c-ae23-28eb21e85dc9</t>
  </si>
  <si>
    <t xml:space="preserve">R064</t>
  </si>
  <si>
    <t xml:space="preserve">Corn Flakes</t>
  </si>
  <si>
    <t xml:space="preserve">T5B111124</t>
  </si>
  <si>
    <t xml:space="preserve">https://www.trustified.in/passandfail/kellogscornflakes</t>
  </si>
  <si>
    <t xml:space="preserve">KELLOGGS-CF</t>
  </si>
  <si>
    <t xml:space="preserve">QC: Blinkit 475 g was out of stock on one view. Instamart not seen.</t>
  </si>
  <si>
    <t xml:space="preserve">R065</t>
  </si>
  <si>
    <t xml:space="preserve">Corn Flakes – Original</t>
  </si>
  <si>
    <t xml:space="preserve">https://www.unboxhealth.in/explore/product/c115cb3c-20eb-4533-9ce6-bf9044fb06ce</t>
  </si>
  <si>
    <t xml:space="preserve">R066</t>
  </si>
  <si>
    <t xml:space="preserve">Muesli 0% Added Sugar</t>
  </si>
  <si>
    <t xml:space="preserve">T8B221024</t>
  </si>
  <si>
    <t xml:space="preserve">https://www.trustified.in/passandfail/kelloggsmuesli</t>
  </si>
  <si>
    <t xml:space="preserve">R067</t>
  </si>
  <si>
    <t xml:space="preserve">Quaker</t>
  </si>
  <si>
    <t xml:space="preserve">Rolled Oats – Natural Wholegrain</t>
  </si>
  <si>
    <t xml:space="preserve">A · 9.4</t>
  </si>
  <si>
    <t xml:space="preserve">https://www.unboxhealth.in/explore/product/quaker-oats-rolled-oats-natural-wholegrain/632b7071-673c-48bf-8211-1aa24abdef14</t>
  </si>
  <si>
    <t xml:space="preserve">R068</t>
  </si>
  <si>
    <t xml:space="preserve">Saffola</t>
  </si>
  <si>
    <t xml:space="preserve">Oats</t>
  </si>
  <si>
    <t xml:space="preserve">AB1224ll26</t>
  </si>
  <si>
    <t xml:space="preserve">https://www.trustified.in/passandfail/saffolaoats</t>
  </si>
  <si>
    <t xml:space="preserve">SAFFOLA-OATS</t>
  </si>
  <si>
    <t xml:space="preserve">QC: quickcommercedata.com lists 127 Saffola SKUs on Blinkit and 35 on Zepto. Instamart and BigBasket not seen.</t>
  </si>
  <si>
    <t xml:space="preserve">R069</t>
  </si>
  <si>
    <t xml:space="preserve">The Whole Truth</t>
  </si>
  <si>
    <t xml:space="preserve">Breakfast Muesli – 5 Grain Muesli</t>
  </si>
  <si>
    <t xml:space="preserve">B+ · 8.9</t>
  </si>
  <si>
    <t xml:space="preserve">https://www.unboxhealth.in/explore/product/the-whole-truth-breakfast-muesli-5-grain-muesli/13825ea3-3a61-4b29-b342-5e88d3356f3d</t>
  </si>
  <si>
    <t xml:space="preserve">R070</t>
  </si>
  <si>
    <t xml:space="preserve">Kissan</t>
  </si>
  <si>
    <t xml:space="preserve">Fresh Tomato Ketchup</t>
  </si>
  <si>
    <t xml:space="preserve">Ketchup &amp; sauces</t>
  </si>
  <si>
    <t xml:space="preserve">D1174</t>
  </si>
  <si>
    <t xml:space="preserve">https://www.trustified.in/passandfail/kissanketchup</t>
  </si>
  <si>
    <t xml:space="preserve">KISSAN-KETCHUP</t>
  </si>
  <si>
    <t xml:space="preserve">R071</t>
  </si>
  <si>
    <t xml:space="preserve">NutriChoice Digestive</t>
  </si>
  <si>
    <t xml:space="preserve">Biscuits &amp; cookies</t>
  </si>
  <si>
    <t xml:space="preserve">https://www.unboxhealth.in/explore/product/1e4f64a1-cbb0-4427-92fb-06d7100464d5</t>
  </si>
  <si>
    <t xml:space="preserve">R072</t>
  </si>
  <si>
    <t xml:space="preserve">Kikibix</t>
  </si>
  <si>
    <t xml:space="preserve">Choco Chip Cookies</t>
  </si>
  <si>
    <t xml:space="preserve">https://www.unboxhealth.in/explore/product/9e2b5bcc-f0ce-4d77-ae17-8b989eb856fd</t>
  </si>
  <si>
    <t xml:space="preserve">R073</t>
  </si>
  <si>
    <t xml:space="preserve">McVitie's</t>
  </si>
  <si>
    <t xml:space="preserve">Digestive</t>
  </si>
  <si>
    <t xml:space="preserve">https://www.unboxhealth.in/explore/product/39422998-b412-452d-b447-f9da2ff708f9</t>
  </si>
  <si>
    <t xml:space="preserve">R074</t>
  </si>
  <si>
    <t xml:space="preserve">Open Secret</t>
  </si>
  <si>
    <t xml:space="preserve">Nutty Cookies – Choco Almond</t>
  </si>
  <si>
    <t xml:space="preserve">https://www.unboxhealth.in/explore/product/open-secret-cookies-choco-almond-nutty/0d233050-9959-4d13-8d19-56b1c4ba47bd</t>
  </si>
  <si>
    <t xml:space="preserve">R075</t>
  </si>
  <si>
    <t xml:space="preserve">Parle</t>
  </si>
  <si>
    <t xml:space="preserve">Parle-G</t>
  </si>
  <si>
    <t xml:space="preserve">https://www.unboxhealth.in/explore/product/a218aef7-1a09-4c66-8b9d-7cee7245194b</t>
  </si>
  <si>
    <t xml:space="preserve">R076</t>
  </si>
  <si>
    <t xml:space="preserve">Sunfeast Farmlite</t>
  </si>
  <si>
    <t xml:space="preserve">Oats &amp; Almonds Cookies</t>
  </si>
  <si>
    <t xml:space="preserve">B+ · 8.5</t>
  </si>
  <si>
    <t xml:space="preserve">https://www.unboxhealth.in/explore/product/sunfeast-farmlite-oats-almonds-cookies/e81baa4d-3ae3-4558-8ae9-7326c31949c3</t>
  </si>
  <si>
    <t xml:space="preserve">R077</t>
  </si>
  <si>
    <t xml:space="preserve">Mojo Bar</t>
  </si>
  <si>
    <t xml:space="preserve">Energy Bar – Yoghurt Berry &amp; Anti-Oxidants</t>
  </si>
  <si>
    <t xml:space="preserve">Energy &amp; granola bars</t>
  </si>
  <si>
    <t xml:space="preserve">Expired</t>
  </si>
  <si>
    <t xml:space="preserve">B</t>
  </si>
  <si>
    <t xml:space="preserve">https://www.unboxhealth.in/explore/product/603aea76-2ca9-4f1b-88b8-77283dc29541</t>
  </si>
  <si>
    <t xml:space="preserve">Unbox shows this as 'Previously Rated', so the rating has expired</t>
  </si>
  <si>
    <t xml:space="preserve">R078</t>
  </si>
  <si>
    <t xml:space="preserve">Nature Valley</t>
  </si>
  <si>
    <t xml:space="preserve">Crunchy Granola Bar</t>
  </si>
  <si>
    <t xml:space="preserve">B+</t>
  </si>
  <si>
    <t xml:space="preserve">https://www.unboxhealth.in/explore/product/3d5626fa-e03d-4ff0-979d-1b79addad9c0</t>
  </si>
  <si>
    <t xml:space="preserve">R079</t>
  </si>
  <si>
    <t xml:space="preserve">Unibic</t>
  </si>
  <si>
    <t xml:space="preserve">Snack Bar – Fruit &amp; Nut</t>
  </si>
  <si>
    <t xml:space="preserve">https://www.unboxhealth.in/explore/category-list/energy-bars/293d1656-8d99-4774-9d36-b77008a1778f</t>
  </si>
  <si>
    <t xml:space="preserve">Unbox shows this as 'Previously Rated', so the rating has expired; Link goes to the Unbox energy-bars category page</t>
  </si>
  <si>
    <t xml:space="preserve">R080</t>
  </si>
  <si>
    <t xml:space="preserve">Wingreens</t>
  </si>
  <si>
    <t xml:space="preserve">Harvest Granola Bar – Dark Chocolate &amp; Espresso</t>
  </si>
  <si>
    <t xml:space="preserve">R081</t>
  </si>
  <si>
    <t xml:space="preserve">Yogabar</t>
  </si>
  <si>
    <t xml:space="preserve">Energy Bar – Chocolate Chunk</t>
  </si>
  <si>
    <t xml:space="preserve">A</t>
  </si>
  <si>
    <t xml:space="preserve">R082</t>
  </si>
  <si>
    <t xml:space="preserve">Bitter Chocolate 75%</t>
  </si>
  <si>
    <t xml:space="preserve">Chocolate &amp; cocoa</t>
  </si>
  <si>
    <t xml:space="preserve">KIN2453</t>
  </si>
  <si>
    <t xml:space="preserve">https://www.trustified.in/passandfail/amul75chocolate</t>
  </si>
  <si>
    <t xml:space="preserve">R083</t>
  </si>
  <si>
    <t xml:space="preserve">Bitter Intense Dark 90%</t>
  </si>
  <si>
    <t xml:space="preserve">KIN1521</t>
  </si>
  <si>
    <t xml:space="preserve">https://www.trustified.in/passandfail/amul90chocolate</t>
  </si>
  <si>
    <t xml:space="preserve">R084</t>
  </si>
  <si>
    <t xml:space="preserve">Dark Chocolate 55%</t>
  </si>
  <si>
    <t xml:space="preserve">KIN1762</t>
  </si>
  <si>
    <t xml:space="preserve">https://www.trustified.in/passandfail/amul55chocolate</t>
  </si>
  <si>
    <t xml:space="preserve">R085</t>
  </si>
  <si>
    <t xml:space="preserve">Cadbury</t>
  </si>
  <si>
    <t xml:space="preserve">Bournville 50% Dark Chocolate</t>
  </si>
  <si>
    <t xml:space="preserve">https://www.unboxhealth.in/explore/product/664f9b20-1313-496e-8c13-2d0d772ec9c2</t>
  </si>
  <si>
    <t xml:space="preserve">CADBURY-B50</t>
  </si>
  <si>
    <t xml:space="preserve">QC: Zepto lists only the 50% Orange variant (2,275 ratings), not counted. Only Blinkit seen.</t>
  </si>
  <si>
    <t xml:space="preserve">R086</t>
  </si>
  <si>
    <t xml:space="preserve">Bournville Classic 50% Dark</t>
  </si>
  <si>
    <t xml:space="preserve">F40913A</t>
  </si>
  <si>
    <t xml:space="preserve">https://www.trustified.in/passandfail/cadburybournville50</t>
  </si>
  <si>
    <t xml:space="preserve">R087</t>
  </si>
  <si>
    <t xml:space="preserve">Bournville Intense 70% Dark</t>
  </si>
  <si>
    <t xml:space="preserve">F41023A</t>
  </si>
  <si>
    <t xml:space="preserve">https://www.trustified.in/passandfail/cadburybournville70</t>
  </si>
  <si>
    <t xml:space="preserve">CADBURY-B70</t>
  </si>
  <si>
    <t xml:space="preserve">QC: Blinkit evidence is the brand page only.</t>
  </si>
  <si>
    <t xml:space="preserve">R088</t>
  </si>
  <si>
    <t xml:space="preserve">Get-A-Way</t>
  </si>
  <si>
    <t xml:space="preserve">Belgian Chocolate</t>
  </si>
  <si>
    <t xml:space="preserve">U 1738</t>
  </si>
  <si>
    <t xml:space="preserve">https://www.trustified.in/passandfail/Belgianchocolate</t>
  </si>
  <si>
    <t xml:space="preserve">R089</t>
  </si>
  <si>
    <t xml:space="preserve">Go Zero</t>
  </si>
  <si>
    <t xml:space="preserve">Madagascar Chocobar</t>
  </si>
  <si>
    <t xml:space="preserve">MG-02</t>
  </si>
  <si>
    <t xml:space="preserve">https://www.trustified.in/passandfail/gozerochocobar</t>
  </si>
  <si>
    <t xml:space="preserve">R090</t>
  </si>
  <si>
    <t xml:space="preserve">Hershey's</t>
  </si>
  <si>
    <t xml:space="preserve">Unsweetened 100% Cocoa Powder</t>
  </si>
  <si>
    <t xml:space="preserve">H10125K</t>
  </si>
  <si>
    <t xml:space="preserve">https://www.trustified.in/passandfail/Hersheyscocoapowder</t>
  </si>
  <si>
    <t xml:space="preserve">R091</t>
  </si>
  <si>
    <t xml:space="preserve">Lindt</t>
  </si>
  <si>
    <t xml:space="preserve">70% Cocoa</t>
  </si>
  <si>
    <t xml:space="preserve">L1714</t>
  </si>
  <si>
    <t xml:space="preserve">https://www.trustified.in/passandfail/lindtchocolate70</t>
  </si>
  <si>
    <t xml:space="preserve">R092</t>
  </si>
  <si>
    <t xml:space="preserve">85% Cocoa</t>
  </si>
  <si>
    <t xml:space="preserve">L2864</t>
  </si>
  <si>
    <t xml:space="preserve">https://www.trustified.in/passandfail/lindtchocolate85</t>
  </si>
  <si>
    <t xml:space="preserve">R093</t>
  </si>
  <si>
    <t xml:space="preserve">Paul &amp; Mike</t>
  </si>
  <si>
    <t xml:space="preserve">99% Dark Chocolate</t>
  </si>
  <si>
    <t xml:space="preserve">https://www.unboxhealth.in/explore/product/e4bf440f-f8a7-4e51-b151-ff0fd467529d</t>
  </si>
  <si>
    <t xml:space="preserve">R094</t>
  </si>
  <si>
    <t xml:space="preserve">Dark Chocolate – Orange</t>
  </si>
  <si>
    <t xml:space="preserve">https://www.unboxhealth.in/explore/product/6987bada-26bc-47e8-9504-662dc3ac50ef</t>
  </si>
  <si>
    <t xml:space="preserve">R095</t>
  </si>
  <si>
    <t xml:space="preserve">Licious</t>
  </si>
  <si>
    <t xml:space="preserve">Chicken Cut</t>
  </si>
  <si>
    <t xml:space="preserve">Meat</t>
  </si>
  <si>
    <t xml:space="preserve">E0518</t>
  </si>
  <si>
    <t xml:space="preserve">https://www.trustified.in/passandfail/liciouschicken</t>
  </si>
  <si>
    <t xml:space="preserve">R096</t>
  </si>
  <si>
    <t xml:space="preserve">Natural Peanut Butter</t>
  </si>
  <si>
    <t xml:space="preserve">Peanut butter</t>
  </si>
  <si>
    <t xml:space="preserve">NCR SFBG-24</t>
  </si>
  <si>
    <t xml:space="preserve">https://www.trustified.in/passandfail/alpinonaturalpeanutbutter</t>
  </si>
  <si>
    <t xml:space="preserve">ALPINO-PB</t>
  </si>
  <si>
    <t xml:space="preserve">Link out only: Trustified marks this report Expired, so don't show it as current</t>
  </si>
  <si>
    <t xml:space="preserve">Found on the Trustified category page, not in the main list scrape; QC: Zepto Chocolate Smooth (64 ratings) is another variant and was skipped.</t>
  </si>
  <si>
    <t xml:space="preserve">R097</t>
  </si>
  <si>
    <t xml:space="preserve">Natural Peanut Butter – Crunch</t>
  </si>
  <si>
    <t xml:space="preserve">A · 9.22</t>
  </si>
  <si>
    <t xml:space="preserve">https://www.unboxhealth.in/explore/product/alpino-natural-peanut-butter-crunch/663e8046-4297-41d4-8364-85784170e3eb</t>
  </si>
  <si>
    <t xml:space="preserve">Unbox shows this as 'Previously Rated', so the rating has expired; Unbox label-accuracy sub-score 9.92; QC: Zepto Chocolate Smooth (64 ratings) is another variant and was skipped.</t>
  </si>
  <si>
    <t xml:space="preserve">R098</t>
  </si>
  <si>
    <t xml:space="preserve">AS-IT-IS Nutrition</t>
  </si>
  <si>
    <t xml:space="preserve">ATOM High Protein Peanut Butter – Crunchy Dark Chocolate</t>
  </si>
  <si>
    <t xml:space="preserve">B+ · 8.64</t>
  </si>
  <si>
    <t xml:space="preserve">https://www.unboxhealth.in/explore/product/as-it-is-nutrition-atom-high-protein-peanut-butter-i-crunchy-dark-chocolate/7b5e4468-4f38-46f9-8a4a-29c0530dc980</t>
  </si>
  <si>
    <t xml:space="preserve">R099</t>
  </si>
  <si>
    <t xml:space="preserve">DiSano</t>
  </si>
  <si>
    <t xml:space="preserve">Peanut Butter</t>
  </si>
  <si>
    <t xml:space="preserve">B18122367</t>
  </si>
  <si>
    <t xml:space="preserve">https://www.trustified.in/passandfail/disanopeanutbutter</t>
  </si>
  <si>
    <t xml:space="preserve">Found on the Trustified category page, not in the main list scrape</t>
  </si>
  <si>
    <t xml:space="preserve">R100</t>
  </si>
  <si>
    <t xml:space="preserve">Peanut Butter – Crunchy</t>
  </si>
  <si>
    <t xml:space="preserve">C · 6.74</t>
  </si>
  <si>
    <t xml:space="preserve">https://www.unboxhealth.in/explore/product/disano-peanut-butter-crunchy/2dc3005f-c84a-405e-be66-41af9f8b2384</t>
  </si>
  <si>
    <t xml:space="preserve">Unbox non-toxicity sub-score 0</t>
  </si>
  <si>
    <t xml:space="preserve">R101</t>
  </si>
  <si>
    <t xml:space="preserve">Dr. Oetker FunFoods</t>
  </si>
  <si>
    <t xml:space="preserve">106</t>
  </si>
  <si>
    <t xml:space="preserve">https://www.trustified.in/passandfail/funfoodspeanutbutter</t>
  </si>
  <si>
    <t xml:space="preserve">R102</t>
  </si>
  <si>
    <t xml:space="preserve">Happilo</t>
  </si>
  <si>
    <t xml:space="preserve">C</t>
  </si>
  <si>
    <t xml:space="preserve">https://www.unboxhealth.in/explore/product/happilo-peanut-butter-crunchy/e7c84c5b-7d1f-4fd4-8804-7f1d22309434</t>
  </si>
  <si>
    <t xml:space="preserve">R103</t>
  </si>
  <si>
    <t xml:space="preserve">MuscleBlaze</t>
  </si>
  <si>
    <t xml:space="preserve">Protein Peanut Butter – Creamy Dark Chocolate</t>
  </si>
  <si>
    <t xml:space="preserve">B+ · 8.8</t>
  </si>
  <si>
    <t xml:space="preserve">https://www.unboxhealth.in/explore/product/muscleblaze-protein-peanut-butter-creamy---dark-chocolate/85a5d325-3a92-4adf-9d7e-312f20f3d633</t>
  </si>
  <si>
    <t xml:space="preserve">R104</t>
  </si>
  <si>
    <t xml:space="preserve">MYFITNESS</t>
  </si>
  <si>
    <t xml:space="preserve">Peanut Butter – Smooth Chocolate</t>
  </si>
  <si>
    <t xml:space="preserve">B+ · 8.78</t>
  </si>
  <si>
    <t xml:space="preserve">https://www.unboxhealth.in/explore/product/myfitness-peanut-butter-smooth---chocolate/871b47fd-5a03-4aa8-a5dd-48076d623915</t>
  </si>
  <si>
    <t xml:space="preserve">R105</t>
  </si>
  <si>
    <t xml:space="preserve">Pintola</t>
  </si>
  <si>
    <t xml:space="preserve">All Natural Peanut Butter – Crunchy</t>
  </si>
  <si>
    <t xml:space="preserve">C · 7.16</t>
  </si>
  <si>
    <t xml:space="preserve">https://www.unboxhealth.in/explore/product/pintola-all-natural-peanut-butter-crunchy/17e27466-bfd7-4200-99f3-e09d75c5d2c3</t>
  </si>
  <si>
    <t xml:space="preserve">PINTOLA-PB</t>
  </si>
  <si>
    <t xml:space="preserve">Unbox non-toxicity sub-score 1.8; QC: Instamart not seen.</t>
  </si>
  <si>
    <t xml:space="preserve">R106</t>
  </si>
  <si>
    <t xml:space="preserve">61400133</t>
  </si>
  <si>
    <t xml:space="preserve">https://www.trustified.in/passandfail/pintolapeanutbutter</t>
  </si>
  <si>
    <t xml:space="preserve">R107</t>
  </si>
  <si>
    <t xml:space="preserve">Sundrop</t>
  </si>
  <si>
    <t xml:space="preserve">106PB194W</t>
  </si>
  <si>
    <t xml:space="preserve">https://www.trustified.in/passandfail/sundroppeanutbutter</t>
  </si>
  <si>
    <t xml:space="preserve">SUNDROP-PB</t>
  </si>
  <si>
    <t xml:space="preserve">Found on the Trustified category page, not in the main list scrape; QC: Zepto brand page shows Sundrop Honey Crunchy at 23,100 ratings: a different variant, not counted. Instamart and BigBasket not seen.</t>
  </si>
  <si>
    <t xml:space="preserve">R108</t>
  </si>
  <si>
    <t xml:space="preserve">Peanut Butter – Creamy</t>
  </si>
  <si>
    <t xml:space="preserve">https://www.unboxhealth.in/explore/product/sundrop-peanut-butter-creamy/67ef698f-d862-46c9-8d11-bcf47af23f65</t>
  </si>
  <si>
    <t xml:space="preserve">Unbox shows this as 'Previously Rated', so the rating has expired; QC: Zepto brand page shows Sundrop Honey Crunchy at 23,100 ratings: a different variant, not counted. Instamart and BigBasket not seen.</t>
  </si>
  <si>
    <t xml:space="preserve">R109</t>
  </si>
  <si>
    <t xml:space="preserve">The Butternut Co</t>
  </si>
  <si>
    <t xml:space="preserve">Natural Peanut Butter Creamy</t>
  </si>
  <si>
    <t xml:space="preserve">F24/15B/D</t>
  </si>
  <si>
    <t xml:space="preserve">https://www.trustified.in/passandfail/thebutternutcopeanut</t>
  </si>
  <si>
    <t xml:space="preserve">R110</t>
  </si>
  <si>
    <t xml:space="preserve">C · 7.38</t>
  </si>
  <si>
    <t xml:space="preserve">https://www.unboxhealth.in/explore/product/the-butternut-co-peanut-butter-crunchy/f4afe028-30fa-444e-8778-ba39dbce8f1d</t>
  </si>
  <si>
    <t xml:space="preserve">Unbox non-toxicity sub-score 5.61</t>
  </si>
  <si>
    <t xml:space="preserve">R111</t>
  </si>
  <si>
    <t xml:space="preserve">Peanut Butter – Crunchy Dark Chocolate</t>
  </si>
  <si>
    <t xml:space="preserve">A · 9.14</t>
  </si>
  <si>
    <t xml:space="preserve">https://www.unboxhealth.in/explore/product/the-whole-truth-peanut-butter-crunchy---dark-chocolate/37e9e113-3f50-4ec7-9c7a-7d52ab6ccdc8</t>
  </si>
  <si>
    <t xml:space="preserve">TWT-PB-CRUNCHY-DC</t>
  </si>
  <si>
    <t xml:space="preserve">Unbox shows this as 'Previously Rated', so the rating has expired; QC: Other TWT peanut butters on Zepto: crunchy unsweetened 325 g (1.0k ratings), creamy dark choc (1.2k), with dates (963), sweetened 925 g (245).</t>
  </si>
  <si>
    <t xml:space="preserve">R112</t>
  </si>
  <si>
    <t xml:space="preserve">Peanut Butter – Creamy Dark Chocolate</t>
  </si>
  <si>
    <t xml:space="preserve">https://www.unboxhealth.in/explore/product/yogabar-peanut-butter-creamy---dark-chocolate/e1be62d8-224e-42cf-b13e-99a7b9d73f36</t>
  </si>
  <si>
    <t xml:space="preserve">R113</t>
  </si>
  <si>
    <t xml:space="preserve">Apis</t>
  </si>
  <si>
    <t xml:space="preserve">Himalaya Honey</t>
  </si>
  <si>
    <t xml:space="preserve">Honey</t>
  </si>
  <si>
    <t xml:space="preserve">Report published</t>
  </si>
  <si>
    <t xml:space="preserve">DS18FG021</t>
  </si>
  <si>
    <t xml:space="preserve">Trustified NMR</t>
  </si>
  <si>
    <t xml:space="preserve">https://www.trustified.in/nmr-reports/apishoney</t>
  </si>
  <si>
    <t xml:space="preserve">NMR honey-authenticity test; the list page shows no pass/fail label</t>
  </si>
  <si>
    <t xml:space="preserve">R114</t>
  </si>
  <si>
    <t xml:space="preserve">BCM2400071</t>
  </si>
  <si>
    <t xml:space="preserve">https://www.trustified.in/nmr-reports/patanjali</t>
  </si>
  <si>
    <t xml:space="preserve">PATANJALI-HONEY</t>
  </si>
  <si>
    <t xml:space="preserve">NMR honey-authenticity test; the list page shows no pass/fail label; QC: Blinkit evidence is a cached page (~616 days old), so flagged '?'. Instamart and BigBasket not checked.</t>
  </si>
  <si>
    <t xml:space="preserve">R115</t>
  </si>
  <si>
    <t xml:space="preserve">Honey Sundarbans</t>
  </si>
  <si>
    <t xml:space="preserve">NA266</t>
  </si>
  <si>
    <t xml:space="preserve">https://www.trustified.in/nmr-reports/saffolahoney</t>
  </si>
  <si>
    <t xml:space="preserve">SAFFOLA-HONEY</t>
  </si>
  <si>
    <t xml:space="preserve">NMR honey-authenticity test; the list page shows no pass/fail label; QC: Listed product is Saffola Honey Active; the NMR samples were Organic and Sundarbans variants.</t>
  </si>
  <si>
    <t xml:space="preserve">R116</t>
  </si>
  <si>
    <t xml:space="preserve">Organic Honey</t>
  </si>
  <si>
    <t xml:space="preserve">N78</t>
  </si>
  <si>
    <t xml:space="preserve">https://www.trustified.in/nmr-reports/saffola</t>
  </si>
  <si>
    <t xml:space="preserve">R117</t>
  </si>
  <si>
    <t xml:space="preserve">Vedaka</t>
  </si>
  <si>
    <t xml:space="preserve">BHP-442</t>
  </si>
  <si>
    <t xml:space="preserve">https://www.trustified.in/nmr-reports/vedakahoney</t>
  </si>
  <si>
    <t xml:space="preserve">R118</t>
  </si>
  <si>
    <t xml:space="preserve">Zandu</t>
  </si>
  <si>
    <t xml:space="preserve">Pure Honey</t>
  </si>
  <si>
    <t xml:space="preserve">SS0009</t>
  </si>
  <si>
    <t xml:space="preserve">https://www.trustified.in/nmr-reports/zandu</t>
  </si>
  <si>
    <t xml:space="preserve">R119</t>
  </si>
  <si>
    <t xml:space="preserve">Avvatar</t>
  </si>
  <si>
    <t xml:space="preserve">Protein Wafer Bar – Chocolate</t>
  </si>
  <si>
    <t xml:space="preserve">Sports nutrition</t>
  </si>
  <si>
    <t xml:space="preserve">Protein bar</t>
  </si>
  <si>
    <t xml:space="preserve">https://www.unboxhealth.in/explore/product/42b52d7c-2afc-4af6-bb4c-7721969efafd</t>
  </si>
  <si>
    <t xml:space="preserve">R120</t>
  </si>
  <si>
    <t xml:space="preserve">HYP</t>
  </si>
  <si>
    <t xml:space="preserve">Protein Bar – Chocolate Espresso</t>
  </si>
  <si>
    <t xml:space="preserve">https://www.unboxhealth.in/explore/product/a9ef5cfb-a903-40ab-9f33-fa2763b5320a</t>
  </si>
  <si>
    <t xml:space="preserve">R121</t>
  </si>
  <si>
    <t xml:space="preserve">Protein Bar – Choco Almond</t>
  </si>
  <si>
    <t xml:space="preserve">https://www.unboxhealth.in/explore/product/e84c19ab-7d5e-4830-81a3-69b687edca4f</t>
  </si>
  <si>
    <t xml:space="preserve">R122</t>
  </si>
  <si>
    <t xml:space="preserve">Max Protein Choco Almond Bar</t>
  </si>
  <si>
    <t xml:space="preserve">0617</t>
  </si>
  <si>
    <t xml:space="preserve">https://www.trustified.in/passandfail/ritebite</t>
  </si>
  <si>
    <t xml:space="preserve">R123</t>
  </si>
  <si>
    <t xml:space="preserve">Max Protein Daily Choco Almond Bar</t>
  </si>
  <si>
    <t xml:space="preserve">https://www.unboxhealth.in/explore/product/36f257db-5019-4eb1-a3e7-d5c240d8e091</t>
  </si>
  <si>
    <t xml:space="preserve">R124</t>
  </si>
  <si>
    <t xml:space="preserve">Mega Protein Wafer – Nutty Chocolate</t>
  </si>
  <si>
    <t xml:space="preserve">C · 7.9</t>
  </si>
  <si>
    <t xml:space="preserve">https://www.unboxhealth.in/explore/product/superyou-mega-protein-wafer-nutty-chocolate/4c3ca09e-57c8-4b1d-9fa4-e8230ab3bd9e</t>
  </si>
  <si>
    <t xml:space="preserve">R125</t>
  </si>
  <si>
    <t xml:space="preserve">High Protein Bar</t>
  </si>
  <si>
    <t xml:space="preserve">DBCPRO-273</t>
  </si>
  <si>
    <t xml:space="preserve">https://www.trustified.in/passandfail/the-whole-truth-protein-bar-main</t>
  </si>
  <si>
    <t xml:space="preserve">TWT-BAR</t>
  </si>
  <si>
    <t xml:space="preserve">QC: Ratings not captured for the Zepto listing.</t>
  </si>
  <si>
    <t xml:space="preserve">R126</t>
  </si>
  <si>
    <t xml:space="preserve">Protein Bar – Coffee Cocoa</t>
  </si>
  <si>
    <t xml:space="preserve">https://www.unboxhealth.in/explore/product/43aca21b-4895-4239-8312-a4f5c0fcccb5</t>
  </si>
  <si>
    <t xml:space="preserve">Unbox shows this as 'Previously Rated', so the rating has expired; Rating expired 12 Apr 2025; QC: Ratings not captured for the Zepto listing.</t>
  </si>
  <si>
    <t xml:space="preserve">R127</t>
  </si>
  <si>
    <t xml:space="preserve">Protein Bar – Double Cocoa</t>
  </si>
  <si>
    <t xml:space="preserve">A · 9.1</t>
  </si>
  <si>
    <t xml:space="preserve">https://www.unboxhealth.in/explore/product/the-whole-truth-protein-bar-double-cocoa/e2d0aacc-c233-4d3b-b5e0-c98e8186c530</t>
  </si>
  <si>
    <t xml:space="preserve">R128</t>
  </si>
  <si>
    <t xml:space="preserve">20 g Protein Bar – Chocolate Brownie</t>
  </si>
  <si>
    <t xml:space="preserve">A+</t>
  </si>
  <si>
    <t xml:space="preserve">https://www.unboxhealth.in/explore/product/45ff54a3-efa3-4b87-8c72-7b404b005ee9</t>
  </si>
  <si>
    <t xml:space="preserve">YOGABAR-BARS</t>
  </si>
  <si>
    <t xml:space="preserve">Unbox shows this as 'Previously Rated', so the rating has expired; QC: Brand-level only: the listings seen are other Yoga Bar variants than the 20 g Chocolate Brownie tested.</t>
  </si>
  <si>
    <t xml:space="preserve">R129</t>
  </si>
  <si>
    <t xml:space="preserve">Americanz Muscles</t>
  </si>
  <si>
    <t xml:space="preserve">Professional Protein</t>
  </si>
  <si>
    <t xml:space="preserve">Whey protein</t>
  </si>
  <si>
    <t xml:space="preserve">446265G27G830</t>
  </si>
  <si>
    <t xml:space="preserve">https://www.trustified.in/passandfail/Americanzmusclesprotein</t>
  </si>
  <si>
    <t xml:space="preserve">R130</t>
  </si>
  <si>
    <t xml:space="preserve">Atom Power Whey Protein</t>
  </si>
  <si>
    <t xml:space="preserve">PDC 4129</t>
  </si>
  <si>
    <t xml:space="preserve">https://www.trustified.in/passandfail/atompowerwheyexpired</t>
  </si>
  <si>
    <t xml:space="preserve">R131</t>
  </si>
  <si>
    <t xml:space="preserve">ATOM Whey Protein Isolate</t>
  </si>
  <si>
    <t xml:space="preserve">AIC 30810</t>
  </si>
  <si>
    <t xml:space="preserve">https://www.trustified.in/passandfail/asitis--whey-isolate</t>
  </si>
  <si>
    <t xml:space="preserve">R132</t>
  </si>
  <si>
    <t xml:space="preserve">100% Performance Whey</t>
  </si>
  <si>
    <t xml:space="preserve">AAPW24L30G</t>
  </si>
  <si>
    <t xml:space="preserve">https://www.trustified.in/passandfail/avvatarperformance100</t>
  </si>
  <si>
    <t xml:space="preserve">R133</t>
  </si>
  <si>
    <t xml:space="preserve">Fuel Whey</t>
  </si>
  <si>
    <t xml:space="preserve">AAFW25J28G</t>
  </si>
  <si>
    <t xml:space="preserve">https://www.trustified.in/passandfail/avvatarfuelwhey</t>
  </si>
  <si>
    <t xml:space="preserve">R134</t>
  </si>
  <si>
    <t xml:space="preserve">BlackBeast</t>
  </si>
  <si>
    <t xml:space="preserve">Whey Protein Puregold</t>
  </si>
  <si>
    <t xml:space="preserve">P178616</t>
  </si>
  <si>
    <t xml:space="preserve">https://www.trustified.in/passandfail/blackbeastwheyprotein</t>
  </si>
  <si>
    <t xml:space="preserve">R135</t>
  </si>
  <si>
    <t xml:space="preserve">Cutler Nutrition</t>
  </si>
  <si>
    <t xml:space="preserve">Total Iso Whey Isolate</t>
  </si>
  <si>
    <t xml:space="preserve">CNTICC122</t>
  </si>
  <si>
    <t xml:space="preserve">https://www.trustified.in/passandfail/cutlernutritionwhey</t>
  </si>
  <si>
    <t xml:space="preserve">R136</t>
  </si>
  <si>
    <t xml:space="preserve">ESN</t>
  </si>
  <si>
    <t xml:space="preserve">Lean Whey</t>
  </si>
  <si>
    <t xml:space="preserve">ESN12312</t>
  </si>
  <si>
    <t xml:space="preserve">https://www.trustified.in/passandfail/esnleanwhey</t>
  </si>
  <si>
    <t xml:space="preserve">R137</t>
  </si>
  <si>
    <t xml:space="preserve">Exalt</t>
  </si>
  <si>
    <t xml:space="preserve">The Priority Whey</t>
  </si>
  <si>
    <t xml:space="preserve">No status shown</t>
  </si>
  <si>
    <t xml:space="preserve">#2025NU9838</t>
  </si>
  <si>
    <t xml:space="preserve">https://www.trustified.in/passandfail/exaltprioritywheyprotein</t>
  </si>
  <si>
    <t xml:space="preserve">Trustified lists the report but shows no pass/fail label on the list page</t>
  </si>
  <si>
    <t xml:space="preserve">R138</t>
  </si>
  <si>
    <t xml:space="preserve">Explosive Whey</t>
  </si>
  <si>
    <t xml:space="preserve">Elite Series Whey Protein</t>
  </si>
  <si>
    <t xml:space="preserve">ES240011</t>
  </si>
  <si>
    <t xml:space="preserve">https://www.trustified.in/passandfail/explosivewheyexpired</t>
  </si>
  <si>
    <t xml:space="preserve">R139</t>
  </si>
  <si>
    <t xml:space="preserve">Foodstrong</t>
  </si>
  <si>
    <t xml:space="preserve">Grass Fed Whey</t>
  </si>
  <si>
    <t xml:space="preserve">TDP01251127D</t>
  </si>
  <si>
    <t xml:space="preserve">https://www.trustified.in/passandfail/foodstrongwheyexpired</t>
  </si>
  <si>
    <t xml:space="preserve">R140</t>
  </si>
  <si>
    <t xml:space="preserve">Fuelled</t>
  </si>
  <si>
    <t xml:space="preserve">Whey Protein Powder</t>
  </si>
  <si>
    <t xml:space="preserve">FNWBMI-025</t>
  </si>
  <si>
    <t xml:space="preserve">https://www.trustified.in/passandfail/fuelledwheyprotein</t>
  </si>
  <si>
    <t xml:space="preserve">R141</t>
  </si>
  <si>
    <t xml:space="preserve">FuelOne</t>
  </si>
  <si>
    <t xml:space="preserve">Fuel One Whey Iso-Max</t>
  </si>
  <si>
    <t xml:space="preserve">HFWIMCF006</t>
  </si>
  <si>
    <t xml:space="preserve">https://www.trustified.in/passandfail/fuelone-main</t>
  </si>
  <si>
    <t xml:space="preserve">R142</t>
  </si>
  <si>
    <t xml:space="preserve">Gentle Beast</t>
  </si>
  <si>
    <t xml:space="preserve">Multi Flavoured Whey Protein Isolate</t>
  </si>
  <si>
    <t xml:space="preserve">GWPI24E25 49</t>
  </si>
  <si>
    <t xml:space="preserve">https://www.trustified.in/passandfail/gentlebeastwheyprotein</t>
  </si>
  <si>
    <t xml:space="preserve">R143</t>
  </si>
  <si>
    <t xml:space="preserve">HealthFarm</t>
  </si>
  <si>
    <t xml:space="preserve">Isopro Zero 100% Pure Whey Protein Isolate</t>
  </si>
  <si>
    <t xml:space="preserve">DPP-23481</t>
  </si>
  <si>
    <t xml:space="preserve">https://www.trustified.in/passandfail/healthfarmisopro</t>
  </si>
  <si>
    <t xml:space="preserve">R144</t>
  </si>
  <si>
    <t xml:space="preserve">Jan Aushadhi</t>
  </si>
  <si>
    <t xml:space="preserve">100% Whey Protein</t>
  </si>
  <si>
    <t xml:space="preserve">ZJWC241K07</t>
  </si>
  <si>
    <t xml:space="preserve">https://www.trustified.in/passandfail/Janaushadhiwhey</t>
  </si>
  <si>
    <t xml:space="preserve">R145</t>
  </si>
  <si>
    <t xml:space="preserve">Maxener Wellness</t>
  </si>
  <si>
    <t xml:space="preserve">Pro Whey X</t>
  </si>
  <si>
    <t xml:space="preserve">WX-07</t>
  </si>
  <si>
    <t xml:space="preserve">https://www.trustified.in/passandfail/maxener-wellness-expired</t>
  </si>
  <si>
    <t xml:space="preserve">R146</t>
  </si>
  <si>
    <t xml:space="preserve">Muscle Club</t>
  </si>
  <si>
    <t xml:space="preserve">Whey Protein Isolate</t>
  </si>
  <si>
    <t xml:space="preserve">UN25-388</t>
  </si>
  <si>
    <t xml:space="preserve">https://www.trustified.in/passandfail/muscleclubwhey</t>
  </si>
  <si>
    <t xml:space="preserve">R147</t>
  </si>
  <si>
    <t xml:space="preserve">Muscle Dominator</t>
  </si>
  <si>
    <t xml:space="preserve">Ripped Whey</t>
  </si>
  <si>
    <t xml:space="preserve">PIDO4382</t>
  </si>
  <si>
    <t xml:space="preserve">https://www.trustified.in/passandfail/muscledominator</t>
  </si>
  <si>
    <t xml:space="preserve">R148</t>
  </si>
  <si>
    <t xml:space="preserve">Muscle Gears</t>
  </si>
  <si>
    <t xml:space="preserve">Advanced Whey Protein</t>
  </si>
  <si>
    <t xml:space="preserve">MG/S/N/5C17</t>
  </si>
  <si>
    <t xml:space="preserve">https://www.trustified.in/passandfail/musclegearswhey</t>
  </si>
  <si>
    <t xml:space="preserve">R149</t>
  </si>
  <si>
    <t xml:space="preserve">Biozyme Gold 100% Whey</t>
  </si>
  <si>
    <t xml:space="preserve">JJBGWDRC0003</t>
  </si>
  <si>
    <t xml:space="preserve">https://www.trustified.in/passandfail/biozymegoldwhey100</t>
  </si>
  <si>
    <t xml:space="preserve">R150</t>
  </si>
  <si>
    <t xml:space="preserve">Biozyme Iso Zero</t>
  </si>
  <si>
    <t xml:space="preserve">Not shown on list</t>
  </si>
  <si>
    <t xml:space="preserve">https://www.trustified.in/passandfail/muscleblaze-iso-zero</t>
  </si>
  <si>
    <t xml:space="preserve">MB-ISOZERO</t>
  </si>
  <si>
    <t xml:space="preserve">Verdict taken from the Pass/Fail tile; the status line on the list page is blank; Batch, date and lab are not shown on the list page (certified-date template); open the report page; QC: Blinkit cards show no ratings. Second Blinkit prid: 689834.</t>
  </si>
  <si>
    <t xml:space="preserve">R151</t>
  </si>
  <si>
    <t xml:space="preserve">Biozyme Performance Whey</t>
  </si>
  <si>
    <t xml:space="preserve">https://www.trustified.in/passandfail/biozyme-performance-whey</t>
  </si>
  <si>
    <t xml:space="preserve">MB-PERF</t>
  </si>
  <si>
    <t xml:space="preserve">Verdict taken from the Pass/Fail tile; the status line on the list page is blank; Batch, date and lab are not shown on the list page (certified-date template); open the report page; QC: Blinkit cards show no ratings. Other Blinkit prids: 491874, 491873 (Magical Mango), 502870 (Chocolate Hazelnut), 569354 (French Vanilla Creme), sachets 539366 and 492097.</t>
  </si>
  <si>
    <t xml:space="preserve">R152</t>
  </si>
  <si>
    <t xml:space="preserve">Biozyme Whey PR</t>
  </si>
  <si>
    <t xml:space="preserve">JBWPFCFF0119</t>
  </si>
  <si>
    <t xml:space="preserve">https://www.trustified.in/passandfail/biozymewheyPR</t>
  </si>
  <si>
    <t xml:space="preserve">R153</t>
  </si>
  <si>
    <t xml:space="preserve">Whey Gold 100% Whey</t>
  </si>
  <si>
    <t xml:space="preserve">JJGWCF0001</t>
  </si>
  <si>
    <t xml:space="preserve">https://www.trustified.in/passandfail/muscleblaze-whey-gold-main</t>
  </si>
  <si>
    <t xml:space="preserve">R154</t>
  </si>
  <si>
    <t xml:space="preserve">MuscleNectar</t>
  </si>
  <si>
    <t xml:space="preserve">MNWPIMM-24011</t>
  </si>
  <si>
    <t xml:space="preserve">https://www.trustified.in/passandfail/musclenectarisolatetest3</t>
  </si>
  <si>
    <t xml:space="preserve">R155</t>
  </si>
  <si>
    <t xml:space="preserve">Nakpro</t>
  </si>
  <si>
    <t xml:space="preserve">Impact Whey Protein</t>
  </si>
  <si>
    <t xml:space="preserve">ICH0824</t>
  </si>
  <si>
    <t xml:space="preserve">https://www.trustified.in/passandfail/nakproimpactwhey</t>
  </si>
  <si>
    <t xml:space="preserve">R156</t>
  </si>
  <si>
    <t xml:space="preserve">Naturaltein</t>
  </si>
  <si>
    <t xml:space="preserve">Max Whey Protein</t>
  </si>
  <si>
    <t xml:space="preserve">NWPDC0250301</t>
  </si>
  <si>
    <t xml:space="preserve">https://www.trustified.in/passandfail/maxwheyprotein</t>
  </si>
  <si>
    <t xml:space="preserve">R157</t>
  </si>
  <si>
    <t xml:space="preserve">Whey Protein Isoboost</t>
  </si>
  <si>
    <t xml:space="preserve">NWBPK250501</t>
  </si>
  <si>
    <t xml:space="preserve">https://www.trustified.in/passandfail/naturalteinisoboost</t>
  </si>
  <si>
    <t xml:space="preserve">R158</t>
  </si>
  <si>
    <t xml:space="preserve">Nutrabay</t>
  </si>
  <si>
    <t xml:space="preserve">Concentrate Whey Protein</t>
  </si>
  <si>
    <t xml:space="preserve">https://www.trustified.in/passandfail/nutrabay</t>
  </si>
  <si>
    <t xml:space="preserve">Verdict taken from the Pass/Fail tile; the status line on the list page is blank; Batch, date and lab are not shown on the list page (certified-date template); open the report page</t>
  </si>
  <si>
    <t xml:space="preserve">R159</t>
  </si>
  <si>
    <t xml:space="preserve">Nutrova</t>
  </si>
  <si>
    <t xml:space="preserve">Whey Protein Isolate Blend</t>
  </si>
  <si>
    <t xml:space="preserve">AWPIC-25051</t>
  </si>
  <si>
    <t xml:space="preserve">https://www.trustified.in/passandfail/nutrovaisolateblendexpired</t>
  </si>
  <si>
    <t xml:space="preserve">R160</t>
  </si>
  <si>
    <t xml:space="preserve">One Science Nutrition</t>
  </si>
  <si>
    <t xml:space="preserve">Iso Gold</t>
  </si>
  <si>
    <t xml:space="preserve">1229070</t>
  </si>
  <si>
    <t xml:space="preserve">TÜV NORD</t>
  </si>
  <si>
    <t xml:space="preserve">https://www.trustified.in/passandfail/onesciencenutrition</t>
  </si>
  <si>
    <t xml:space="preserve">R161</t>
  </si>
  <si>
    <t xml:space="preserve">Only What's Needed</t>
  </si>
  <si>
    <t xml:space="preserve">Whey Protein Concentrate</t>
  </si>
  <si>
    <t xml:space="preserve">OWP25013</t>
  </si>
  <si>
    <t xml:space="preserve">https://www.trustified.in/passandfail/ownwheyprotein</t>
  </si>
  <si>
    <t xml:space="preserve">R162</t>
  </si>
  <si>
    <t xml:space="preserve">OSOAA</t>
  </si>
  <si>
    <t xml:space="preserve">Impact Whey</t>
  </si>
  <si>
    <t xml:space="preserve">OS 25005</t>
  </si>
  <si>
    <t xml:space="preserve">https://www.trustified.in/passandfail/osoaaimpactwheyexpired</t>
  </si>
  <si>
    <t xml:space="preserve">R163</t>
  </si>
  <si>
    <t xml:space="preserve">Ripped Up Nutrition</t>
  </si>
  <si>
    <t xml:space="preserve">Muscle Whey</t>
  </si>
  <si>
    <t xml:space="preserve">MWC1109</t>
  </si>
  <si>
    <t xml:space="preserve">https://www.trustified.in/passandfail/runmusclewhey-expired</t>
  </si>
  <si>
    <t xml:space="preserve">R164</t>
  </si>
  <si>
    <t xml:space="preserve">Whey Pro</t>
  </si>
  <si>
    <t xml:space="preserve">WPI1196</t>
  </si>
  <si>
    <t xml:space="preserve">https://www.trustified.in/passandfail/ripped-up-nutrition-expired</t>
  </si>
  <si>
    <t xml:space="preserve">R165</t>
  </si>
  <si>
    <t xml:space="preserve">Ronnie Coleman</t>
  </si>
  <si>
    <t xml:space="preserve">Pro Antium</t>
  </si>
  <si>
    <t xml:space="preserve">JJRCPADC0015</t>
  </si>
  <si>
    <t xml:space="preserve">https://www.trustified.in/passandfail/Ronniecoleman</t>
  </si>
  <si>
    <t xml:space="preserve">R166</t>
  </si>
  <si>
    <t xml:space="preserve">Tata 1mg</t>
  </si>
  <si>
    <t xml:space="preserve">Ultra Clean Whey Protein</t>
  </si>
  <si>
    <t xml:space="preserve">NHPR25513</t>
  </si>
  <si>
    <t xml:space="preserve">https://www.trustified.in/passandfail/tata1mgcleanwhey</t>
  </si>
  <si>
    <t xml:space="preserve">R167</t>
  </si>
  <si>
    <t xml:space="preserve">Raw Whey Protein Concentrate</t>
  </si>
  <si>
    <t xml:space="preserve">TWTWCU079F2</t>
  </si>
  <si>
    <t xml:space="preserve">https://www.trustified.in/passandfail/the-whole-truth-concentrate</t>
  </si>
  <si>
    <t xml:space="preserve">R168</t>
  </si>
  <si>
    <t xml:space="preserve">Raw Whey Protein Isolate</t>
  </si>
  <si>
    <t xml:space="preserve">TWTWIU087F2</t>
  </si>
  <si>
    <t xml:space="preserve">https://www.trustified.in/passandfail/twtrawwheyisolate</t>
  </si>
  <si>
    <t xml:space="preserve">TWT-WHEY-ISO</t>
  </si>
  <si>
    <t xml:space="preserve">QC: Evidence is the Zepto brand page; ratings not captured.</t>
  </si>
  <si>
    <t xml:space="preserve">R169</t>
  </si>
  <si>
    <t xml:space="preserve">Whey Protein Isolate – Unflavoured</t>
  </si>
  <si>
    <t xml:space="preserve">Link goes to the Unbox explore page (product id not captured); QC: Evidence is the Zepto brand page; ratings not captured.</t>
  </si>
  <si>
    <t xml:space="preserve">R170</t>
  </si>
  <si>
    <t xml:space="preserve">Whey Protein – Beginner Cold Coffee 15 g</t>
  </si>
  <si>
    <t xml:space="preserve">ZW2638IZBB (sub-batches A–F)</t>
  </si>
  <si>
    <t xml:space="preserve">NABL lab (named in each PDF)</t>
  </si>
  <si>
    <t xml:space="preserve">The Whole Truth hub</t>
  </si>
  <si>
    <t xml:space="preserve">https://drive.google.com/file/d/1FA1ybRVtSvEBnxzhWx-4xROwvXd_K9Yf/view?usp=drivesdk</t>
  </si>
  <si>
    <t xml:space="preserve">Open (Drive PDF)</t>
  </si>
  <si>
    <t xml:space="preserve">Brand-published report: link out to the PDF; ask the brand before reusing content</t>
  </si>
  <si>
    <t xml:space="preserve">Brand's own batch-wise report hub; 2 report PDF(s) for this product in the 15–21 Sep 2026 window; latest shown</t>
  </si>
  <si>
    <t xml:space="preserve">R171</t>
  </si>
  <si>
    <t xml:space="preserve">Whey Protein – Cold Coffee 24 g</t>
  </si>
  <si>
    <t xml:space="preserve">ZW2638OZBB (sub-batches A–F)</t>
  </si>
  <si>
    <t xml:space="preserve">https://drive.google.com/file/d/1ulsQZl4m-qHU6JZHNEfW6WN5ywskjxdy/view?usp=drivesdk</t>
  </si>
  <si>
    <t xml:space="preserve">Brand's own batch-wise report hub; 4 report PDF(s) for this product in the 15–21 Sep 2026 window; latest shown</t>
  </si>
  <si>
    <t xml:space="preserve">R172</t>
  </si>
  <si>
    <t xml:space="preserve">Whey Protein – Light Cocoa 24 g</t>
  </si>
  <si>
    <t xml:space="preserve">ZW2639CZBB (sub-batches A–F)</t>
  </si>
  <si>
    <t xml:space="preserve">https://drive.google.com/file/d/1WbE_p-vUgY4iL-zmS1F5Y-1bjbnf7AF2/view?usp=drivesdk</t>
  </si>
  <si>
    <t xml:space="preserve">TWT-WHEY-COCOA</t>
  </si>
  <si>
    <t xml:space="preserve">Brand's own batch-wise report hub; 7 report PDF(s) for this product in the 15–21 Sep 2026 window; latest shown; QC: Evidence is the Zepto brand page; ratings not captured.</t>
  </si>
  <si>
    <t xml:space="preserve">R173</t>
  </si>
  <si>
    <t xml:space="preserve">Whey Protein – Pista Badaam 24 g</t>
  </si>
  <si>
    <t xml:space="preserve">ZZ2639CZBB (sub-batches A–F)</t>
  </si>
  <si>
    <t xml:space="preserve">https://drive.google.com/file/d/1xK-VxzsZWNiQZYeBcbcBoeQjZCEa_MRe/view?usp=drivesdk</t>
  </si>
  <si>
    <t xml:space="preserve">R174</t>
  </si>
  <si>
    <t xml:space="preserve">Whey Protein – Unflavoured Concentrate 26 g</t>
  </si>
  <si>
    <t xml:space="preserve">ZW2638PZBB (sub-batches A–F)</t>
  </si>
  <si>
    <t xml:space="preserve">https://drive.google.com/file/d/1pFTIqUMK3KqON3iqgkNj6Icf-Jnm8CzS/view?usp=drivesdk</t>
  </si>
  <si>
    <t xml:space="preserve">Brand's own batch-wise report hub; 8 report PDF(s) for this product in the 15–21 Sep 2026 window; latest shown</t>
  </si>
  <si>
    <t xml:space="preserve">R175</t>
  </si>
  <si>
    <t xml:space="preserve">Total Nutrition</t>
  </si>
  <si>
    <t xml:space="preserve">Whey Protein</t>
  </si>
  <si>
    <t xml:space="preserve">GDM/B1/1286</t>
  </si>
  <si>
    <t xml:space="preserve">https://www.trustified.in/passandfail/totalnutrition</t>
  </si>
  <si>
    <t xml:space="preserve">R176</t>
  </si>
  <si>
    <t xml:space="preserve">Trikut</t>
  </si>
  <si>
    <t xml:space="preserve">Premium Whey Protein</t>
  </si>
  <si>
    <t xml:space="preserve">WP 002</t>
  </si>
  <si>
    <t xml:space="preserve">https://www.trustified.in/passandfail/trikutwheyprotein</t>
  </si>
  <si>
    <t xml:space="preserve">R177</t>
  </si>
  <si>
    <t xml:space="preserve">TrueBasics</t>
  </si>
  <si>
    <t xml:space="preserve">Clean Whey Protein</t>
  </si>
  <si>
    <t xml:space="preserve">MMCWPV001</t>
  </si>
  <si>
    <t xml:space="preserve">https://www.trustified.in/passandfail/truebasiccleanisolate</t>
  </si>
  <si>
    <t xml:space="preserve">Two TrueBasics Clean Whey batches are listed separately</t>
  </si>
  <si>
    <t xml:space="preserve">R178</t>
  </si>
  <si>
    <t xml:space="preserve">MMCWPC001</t>
  </si>
  <si>
    <t xml:space="preserve">https://www.trustified.in/passandfail/cleanwheyprotein</t>
  </si>
  <si>
    <t xml:space="preserve">R179</t>
  </si>
  <si>
    <t xml:space="preserve">Trunativ</t>
  </si>
  <si>
    <t xml:space="preserve">Whey Protein Pro Blend</t>
  </si>
  <si>
    <t xml:space="preserve">TNWBCC-006</t>
  </si>
  <si>
    <t xml:space="preserve">https://www.trustified.in/passandfail/trunativwheyblendpro</t>
  </si>
  <si>
    <t xml:space="preserve">R180</t>
  </si>
  <si>
    <t xml:space="preserve">XLR8</t>
  </si>
  <si>
    <t xml:space="preserve">Performance Whey</t>
  </si>
  <si>
    <t xml:space="preserve">UBXPWCC25002</t>
  </si>
  <si>
    <t xml:space="preserve">https://www.trustified.in/passandfail/xlr8performancewhey-expired</t>
  </si>
  <si>
    <t xml:space="preserve">R181</t>
  </si>
  <si>
    <t xml:space="preserve">Whey Blend</t>
  </si>
  <si>
    <t xml:space="preserve">UBXPM25001</t>
  </si>
  <si>
    <t xml:space="preserve">https://www.trustified.in/passandfail/Xlr8wheyproteintest</t>
  </si>
  <si>
    <t xml:space="preserve">R182</t>
  </si>
  <si>
    <t xml:space="preserve">ProClean Whey Protein Isolate</t>
  </si>
  <si>
    <t xml:space="preserve">BWP261224A-001</t>
  </si>
  <si>
    <t xml:space="preserve">https://www.trustified.in/passandfail/yogabarcleanwhey</t>
  </si>
  <si>
    <t xml:space="preserve">R183</t>
  </si>
  <si>
    <t xml:space="preserve">Supernatural Peanut Protein</t>
  </si>
  <si>
    <t xml:space="preserve">Plant protein</t>
  </si>
  <si>
    <t xml:space="preserve">R26177</t>
  </si>
  <si>
    <t xml:space="preserve">https://www.trustified.in/passandfail/alpinopeanutprotein1</t>
  </si>
  <si>
    <t xml:space="preserve">Alpino Supernatural Peanut Protein has two batches listed (R26177 in Jun 2026, R24633 in Jun 2025)</t>
  </si>
  <si>
    <t xml:space="preserve">R184</t>
  </si>
  <si>
    <t xml:space="preserve">R24633</t>
  </si>
  <si>
    <t xml:space="preserve">https://www.trustified.in/passandfail/alpinopeanutprotein</t>
  </si>
  <si>
    <t xml:space="preserve">R185</t>
  </si>
  <si>
    <t xml:space="preserve">Soy Protein Isolate</t>
  </si>
  <si>
    <t xml:space="preserve">AS 6035</t>
  </si>
  <si>
    <t xml:space="preserve">https://www.trustified.in/passandfail/asitissoyisolateprotein</t>
  </si>
  <si>
    <t xml:space="preserve">R186</t>
  </si>
  <si>
    <t xml:space="preserve">Mille</t>
  </si>
  <si>
    <t xml:space="preserve">Plant Protein 25 g</t>
  </si>
  <si>
    <t xml:space="preserve">FPPCH1609</t>
  </si>
  <si>
    <t xml:space="preserve">https://www.trustified.in/passandfail/milleplantprotein25g</t>
  </si>
  <si>
    <t xml:space="preserve">R187</t>
  </si>
  <si>
    <t xml:space="preserve">Plant Protein 31 g</t>
  </si>
  <si>
    <t xml:space="preserve">FPPU0109</t>
  </si>
  <si>
    <t xml:space="preserve">https://www.trustified.in/passandfail/milleplantprotein31g</t>
  </si>
  <si>
    <t xml:space="preserve">R188</t>
  </si>
  <si>
    <t xml:space="preserve">Plant Protein</t>
  </si>
  <si>
    <t xml:space="preserve">PPCH0224</t>
  </si>
  <si>
    <t xml:space="preserve">https://www.trustified.in/passandfail/nakproplantprotein</t>
  </si>
  <si>
    <t xml:space="preserve">R189</t>
  </si>
  <si>
    <t xml:space="preserve">NPPC240101</t>
  </si>
  <si>
    <t xml:space="preserve">https://www.trustified.in/passandfail/naturaltein-plant-protein</t>
  </si>
  <si>
    <t xml:space="preserve">R190</t>
  </si>
  <si>
    <t xml:space="preserve">Yeast Protein</t>
  </si>
  <si>
    <t xml:space="preserve">NYPT260301</t>
  </si>
  <si>
    <t xml:space="preserve">https://www.trustified.in/passandfail/naturalteinyesprotein</t>
  </si>
  <si>
    <t xml:space="preserve">R191</t>
  </si>
  <si>
    <t xml:space="preserve">Gold Hydrolyzed Pea Protein</t>
  </si>
  <si>
    <t xml:space="preserve">S1PC367</t>
  </si>
  <si>
    <t xml:space="preserve">https://www.trustified.in/passandfail/nutrabaypeaprotein</t>
  </si>
  <si>
    <t xml:space="preserve">Two Nutrabay pea-protein batches share this report page</t>
  </si>
  <si>
    <t xml:space="preserve">R192</t>
  </si>
  <si>
    <t xml:space="preserve">Pea Protein Isolate</t>
  </si>
  <si>
    <t xml:space="preserve">3SNBP1-003</t>
  </si>
  <si>
    <t xml:space="preserve">R193</t>
  </si>
  <si>
    <t xml:space="preserve">S1YPCC383</t>
  </si>
  <si>
    <t xml:space="preserve">https://www.trustified.in/passandfail/nutrabayyeastprotein</t>
  </si>
  <si>
    <t xml:space="preserve">R194</t>
  </si>
  <si>
    <t xml:space="preserve">Nutrabox</t>
  </si>
  <si>
    <t xml:space="preserve">100% Soy Isolate</t>
  </si>
  <si>
    <t xml:space="preserve">NP50321</t>
  </si>
  <si>
    <t xml:space="preserve">https://www.trustified.in/passandfail/nutraboxsoyprotein</t>
  </si>
  <si>
    <t xml:space="preserve">R195</t>
  </si>
  <si>
    <t xml:space="preserve">Vegan Protein</t>
  </si>
  <si>
    <t xml:space="preserve">NP51155</t>
  </si>
  <si>
    <t xml:space="preserve">https://www.trustified.in/passandfail/nutraboxveganprotein</t>
  </si>
  <si>
    <t xml:space="preserve">R196</t>
  </si>
  <si>
    <t xml:space="preserve">Fermented Yeast Protein</t>
  </si>
  <si>
    <t xml:space="preserve">SYPC0250801</t>
  </si>
  <si>
    <t xml:space="preserve">https://www.trustified.in/passandfail/superyouyeastprotein</t>
  </si>
  <si>
    <t xml:space="preserve">R197</t>
  </si>
  <si>
    <t xml:space="preserve">Plant Protein – Pista Badaam</t>
  </si>
  <si>
    <t xml:space="preserve">ZY2638JZBB (sub-batches A–F)</t>
  </si>
  <si>
    <t xml:space="preserve">https://drive.google.com/file/d/1Uo2VI3xbUWcSMs4FwDXX3Au5nYjKbmZO/view?usp=drivesdk</t>
  </si>
  <si>
    <t xml:space="preserve">R198</t>
  </si>
  <si>
    <t xml:space="preserve">Clean Plant Protein</t>
  </si>
  <si>
    <t xml:space="preserve">JJTCPPCF0023</t>
  </si>
  <si>
    <t xml:space="preserve">https://www.trustified.in/passandfail/truebasicsplantprotein</t>
  </si>
  <si>
    <t xml:space="preserve">R199</t>
  </si>
  <si>
    <t xml:space="preserve">Pre-Workout 200 Xtreme</t>
  </si>
  <si>
    <t xml:space="preserve">Pre-workout</t>
  </si>
  <si>
    <t xml:space="preserve">GGPWXFP107</t>
  </si>
  <si>
    <t xml:space="preserve">https://www.trustified.in/passandfail/mbxtremepreworkout</t>
  </si>
  <si>
    <t xml:space="preserve">R200</t>
  </si>
  <si>
    <t xml:space="preserve">Pre-Workout Wrath X</t>
  </si>
  <si>
    <t xml:space="preserve">GGPWNBF 030</t>
  </si>
  <si>
    <t xml:space="preserve">https://www.trustified.in/passandfail/muscleblazepreworkout</t>
  </si>
  <si>
    <t xml:space="preserve">R201</t>
  </si>
  <si>
    <t xml:space="preserve">Pure 07 Preworkout</t>
  </si>
  <si>
    <t xml:space="preserve">PWWMNT0524</t>
  </si>
  <si>
    <t xml:space="preserve">https://www.trustified.in/passandfail/naturalteinpure07</t>
  </si>
  <si>
    <t xml:space="preserve">R202</t>
  </si>
  <si>
    <t xml:space="preserve">Atom Creatine Monohydrate</t>
  </si>
  <si>
    <t xml:space="preserve">Creatine</t>
  </si>
  <si>
    <t xml:space="preserve">https://www.trustified.in/passandfail/asitis-atom-creatine</t>
  </si>
  <si>
    <t xml:space="preserve">R203</t>
  </si>
  <si>
    <t xml:space="preserve">Creasure 100% Creatine Monohydrate</t>
  </si>
  <si>
    <t xml:space="preserve">ACS 5042</t>
  </si>
  <si>
    <t xml:space="preserve">https://www.trustified.in/passandfail/creasurecreatinemonohydrate</t>
  </si>
  <si>
    <t xml:space="preserve">R204</t>
  </si>
  <si>
    <t xml:space="preserve">Creatine Monohydrate</t>
  </si>
  <si>
    <t xml:space="preserve">ASC 6033</t>
  </si>
  <si>
    <t xml:space="preserve">https://www.trustified.in/passandfail/asitisonecreatine</t>
  </si>
  <si>
    <t xml:space="preserve">R205</t>
  </si>
  <si>
    <t xml:space="preserve">CUFPM0224</t>
  </si>
  <si>
    <t xml:space="preserve">https://www.trustified.in/passandfail/avvatarcreatinemonohydrate</t>
  </si>
  <si>
    <t xml:space="preserve">R206</t>
  </si>
  <si>
    <t xml:space="preserve">P181964</t>
  </si>
  <si>
    <t xml:space="preserve">https://www.trustified.in/passandfail/blackbeastcreatinemonohydrate</t>
  </si>
  <si>
    <t xml:space="preserve">R207</t>
  </si>
  <si>
    <t xml:space="preserve">Man Matters</t>
  </si>
  <si>
    <t xml:space="preserve">Creatine Gummies</t>
  </si>
  <si>
    <t xml:space="preserve">MMCG25003</t>
  </si>
  <si>
    <t xml:space="preserve">https://www.trustified.in/passandfail/manmattersgummies</t>
  </si>
  <si>
    <t xml:space="preserve">R208</t>
  </si>
  <si>
    <t xml:space="preserve">MNCMU-009</t>
  </si>
  <si>
    <t xml:space="preserve">https://www.trustified.in/passandfail/musclenectarcreatinemonohydrate</t>
  </si>
  <si>
    <t xml:space="preserve">R209</t>
  </si>
  <si>
    <t xml:space="preserve">Creaboost Creatine Monohydrate</t>
  </si>
  <si>
    <t xml:space="preserve">NCB240601</t>
  </si>
  <si>
    <t xml:space="preserve">https://www.trustified.in/passandfail/naturaltein-crea-boost</t>
  </si>
  <si>
    <t xml:space="preserve">R210</t>
  </si>
  <si>
    <t xml:space="preserve">Creamag Boost</t>
  </si>
  <si>
    <t xml:space="preserve">NCMU260301</t>
  </si>
  <si>
    <t xml:space="preserve">https://www.trustified.in/passandfail/naturalteincreamag</t>
  </si>
  <si>
    <t xml:space="preserve">R211</t>
  </si>
  <si>
    <t xml:space="preserve">The Alpha Creatine</t>
  </si>
  <si>
    <t xml:space="preserve">HP51203</t>
  </si>
  <si>
    <t xml:space="preserve">https://www.trustified.in/passandfail/alphacreatine</t>
  </si>
  <si>
    <t xml:space="preserve">R212</t>
  </si>
  <si>
    <t xml:space="preserve">Smash</t>
  </si>
  <si>
    <t xml:space="preserve">Micronised Creatine</t>
  </si>
  <si>
    <t xml:space="preserve">JJCMFF0001</t>
  </si>
  <si>
    <t xml:space="preserve">https://www.trustified.in/passandfail/smashcreatine</t>
  </si>
  <si>
    <t xml:space="preserve">R213</t>
  </si>
  <si>
    <t xml:space="preserve">EMPP26006</t>
  </si>
  <si>
    <t xml:space="preserve">https://www.trustified.in/passandfail/superyoucreatine</t>
  </si>
  <si>
    <t xml:space="preserve">R214</t>
  </si>
  <si>
    <t xml:space="preserve">Micronised Creatine Monohydrate</t>
  </si>
  <si>
    <t xml:space="preserve">TMG25167</t>
  </si>
  <si>
    <t xml:space="preserve">https://www.trustified.in/passandfail/tata1mgcreatine</t>
  </si>
  <si>
    <t xml:space="preserve">R215</t>
  </si>
  <si>
    <t xml:space="preserve">Alkem Laboratories</t>
  </si>
  <si>
    <t xml:space="preserve">Uprise D3</t>
  </si>
  <si>
    <t xml:space="preserve">Supplements</t>
  </si>
  <si>
    <t xml:space="preserve">Multivitamin &amp; minerals</t>
  </si>
  <si>
    <t xml:space="preserve">25510285</t>
  </si>
  <si>
    <t xml:space="preserve">https://www.trustified.in/passandfail/alkemuprised3capsule</t>
  </si>
  <si>
    <t xml:space="preserve">R216</t>
  </si>
  <si>
    <t xml:space="preserve">Becadexamine</t>
  </si>
  <si>
    <t xml:space="preserve">Multivitamin And Multimineral Capsule</t>
  </si>
  <si>
    <t xml:space="preserve">BH684</t>
  </si>
  <si>
    <t xml:space="preserve">https://www.trustified.in/passandfail/Becadexaminemultivitamins</t>
  </si>
  <si>
    <t xml:space="preserve">R217</t>
  </si>
  <si>
    <t xml:space="preserve">Bluvit</t>
  </si>
  <si>
    <t xml:space="preserve">D3 Sachet</t>
  </si>
  <si>
    <t xml:space="preserve">ZAGH2519</t>
  </si>
  <si>
    <t xml:space="preserve">https://www.trustified.in/passandfail/bluvitd3sachets</t>
  </si>
  <si>
    <t xml:space="preserve">R218</t>
  </si>
  <si>
    <t xml:space="preserve">Centrum</t>
  </si>
  <si>
    <t xml:space="preserve">Men Multivitamin</t>
  </si>
  <si>
    <t xml:space="preserve">MCMA24024</t>
  </si>
  <si>
    <t xml:space="preserve">https://www.trustified.in/passandfail/centrummenmultivitamin</t>
  </si>
  <si>
    <t xml:space="preserve">R219</t>
  </si>
  <si>
    <t xml:space="preserve">HK Vitals</t>
  </si>
  <si>
    <t xml:space="preserve">Magnesium Glycinate</t>
  </si>
  <si>
    <t xml:space="preserve">NNH26066</t>
  </si>
  <si>
    <t xml:space="preserve">https://www.trustified.in/passandfail/hkvitalsmagnesium</t>
  </si>
  <si>
    <t xml:space="preserve">R220</t>
  </si>
  <si>
    <t xml:space="preserve">Biozyme Daily Multivitamin</t>
  </si>
  <si>
    <t xml:space="preserve">MBBT-25</t>
  </si>
  <si>
    <t xml:space="preserve">https://www.trustified.in/passandfail/muscleblaze-multivitamintest</t>
  </si>
  <si>
    <t xml:space="preserve">R221</t>
  </si>
  <si>
    <t xml:space="preserve">MB-Vite Daily Multivitamin</t>
  </si>
  <si>
    <t xml:space="preserve">NNM2518</t>
  </si>
  <si>
    <t xml:space="preserve">https://www.trustified.in/passandfail/muscleblazemultivitamins</t>
  </si>
  <si>
    <t xml:space="preserve">R222</t>
  </si>
  <si>
    <t xml:space="preserve">Magnesium Glycinate 550 mg</t>
  </si>
  <si>
    <t xml:space="preserve">RHMST2401</t>
  </si>
  <si>
    <t xml:space="preserve">https://www.trustified.in/passandfail/naturalteinmagnesiumglycinate</t>
  </si>
  <si>
    <t xml:space="preserve">R223</t>
  </si>
  <si>
    <t xml:space="preserve">Nutrijet</t>
  </si>
  <si>
    <t xml:space="preserve">Magnesium 3 in 1</t>
  </si>
  <si>
    <t xml:space="preserve">MCDS0624</t>
  </si>
  <si>
    <t xml:space="preserve">https://www.trustified.in/passandfail/nutrijetmagnesium3in1</t>
  </si>
  <si>
    <t xml:space="preserve">R224</t>
  </si>
  <si>
    <t xml:space="preserve">Haleup</t>
  </si>
  <si>
    <t xml:space="preserve">Vegan Omega 3</t>
  </si>
  <si>
    <t xml:space="preserve">Omega-3</t>
  </si>
  <si>
    <t xml:space="preserve">HAL02261</t>
  </si>
  <si>
    <t xml:space="preserve">https://www.trustified.in/passandfail/haleupomega3</t>
  </si>
  <si>
    <t xml:space="preserve">R225</t>
  </si>
  <si>
    <t xml:space="preserve">Ultimate Omega 3</t>
  </si>
  <si>
    <t xml:space="preserve">BL/FO/TS/020</t>
  </si>
  <si>
    <t xml:space="preserve">https://www.trustified.in/passandfail/naturaltein-omega-3</t>
  </si>
  <si>
    <t xml:space="preserve">R226</t>
  </si>
  <si>
    <t xml:space="preserve">Ultimate Vegan Omega 3</t>
  </si>
  <si>
    <t xml:space="preserve">BLSS24001</t>
  </si>
  <si>
    <t xml:space="preserve">https://www.trustified.in/passandfail/naturalteinveganomega</t>
  </si>
  <si>
    <t xml:space="preserve">R227</t>
  </si>
  <si>
    <t xml:space="preserve">Pro Fish Oil Omega 3</t>
  </si>
  <si>
    <t xml:space="preserve">TF24182D</t>
  </si>
  <si>
    <t xml:space="preserve">https://www.trustified.in/passandfail/nutrabay-pro-fish-oil-omega-main</t>
  </si>
  <si>
    <t xml:space="preserve">R228</t>
  </si>
  <si>
    <t xml:space="preserve">Pure Serving</t>
  </si>
  <si>
    <t xml:space="preserve">TB-B02/SEP25</t>
  </si>
  <si>
    <t xml:space="preserve">https://www.trustified.in/passandfail/pureservingomega3</t>
  </si>
  <si>
    <t xml:space="preserve">R229</t>
  </si>
  <si>
    <t xml:space="preserve">RawRX</t>
  </si>
  <si>
    <t xml:space="preserve">BDL-0424</t>
  </si>
  <si>
    <t xml:space="preserve">https://www.trustified.in/passandfail/rawrxveganomega</t>
  </si>
  <si>
    <t xml:space="preserve">R230</t>
  </si>
  <si>
    <t xml:space="preserve">4-7X Strength Omega 3</t>
  </si>
  <si>
    <t xml:space="preserve">TMG25286</t>
  </si>
  <si>
    <t xml:space="preserve">https://www.trustified.in/passandfail/tata1mgomega3</t>
  </si>
  <si>
    <t xml:space="preserve">R231</t>
  </si>
  <si>
    <t xml:space="preserve">Zaveda</t>
  </si>
  <si>
    <t xml:space="preserve">GDM/C1/24</t>
  </si>
  <si>
    <t xml:space="preserve">https://www.trustified.in/passandfail/zavedaomega3</t>
  </si>
  <si>
    <t xml:space="preserve">R232</t>
  </si>
  <si>
    <t xml:space="preserve">Zeroharm</t>
  </si>
  <si>
    <t xml:space="preserve">Vegan Omega</t>
  </si>
  <si>
    <t xml:space="preserve">ZC2409003A</t>
  </si>
  <si>
    <t xml:space="preserve">https://www.trustified.in/passandfail/zeroharmomega</t>
  </si>
  <si>
    <t xml:space="preserve">R233</t>
  </si>
  <si>
    <t xml:space="preserve">Amyleord</t>
  </si>
  <si>
    <t xml:space="preserve">Glutathione with Vit C</t>
  </si>
  <si>
    <t xml:space="preserve">Other supplements</t>
  </si>
  <si>
    <t xml:space="preserve">MXN09024</t>
  </si>
  <si>
    <t xml:space="preserve">https://www.trustified.in/passandfail/amyleordglutathione</t>
  </si>
  <si>
    <t xml:space="preserve">R234</t>
  </si>
  <si>
    <t xml:space="preserve">Baidyanath</t>
  </si>
  <si>
    <t xml:space="preserve">Isabgol</t>
  </si>
  <si>
    <t xml:space="preserve">J001B037</t>
  </si>
  <si>
    <t xml:space="preserve">https://www.trustified.in/passandfail/isabgol</t>
  </si>
  <si>
    <t xml:space="preserve">R235</t>
  </si>
  <si>
    <t xml:space="preserve">Dr. Vaidya's</t>
  </si>
  <si>
    <t xml:space="preserve">Apple Cider Vinegar</t>
  </si>
  <si>
    <t xml:space="preserve">Not recommended</t>
  </si>
  <si>
    <t xml:space="preserve">ACV240802</t>
  </si>
  <si>
    <t xml:space="preserve">https://www.trustified.in/passandfail/vaidyaapplecidervinegar</t>
  </si>
  <si>
    <t xml:space="preserve">R236</t>
  </si>
  <si>
    <t xml:space="preserve">Koshaveda</t>
  </si>
  <si>
    <t xml:space="preserve">Shilajit Pro</t>
  </si>
  <si>
    <t xml:space="preserve">1832-P</t>
  </si>
  <si>
    <t xml:space="preserve">https://www.trustified.in/passandfail/mbkoshaveda</t>
  </si>
  <si>
    <t xml:space="preserve">R237</t>
  </si>
  <si>
    <t xml:space="preserve">Nutriquint</t>
  </si>
  <si>
    <t xml:space="preserve">Melatonin 10 mg Gummies</t>
  </si>
  <si>
    <t xml:space="preserve">EJ246</t>
  </si>
  <si>
    <t xml:space="preserve">https://www.trustified.in/passandfail/nutriquintmelatonin</t>
  </si>
  <si>
    <t xml:space="preserve">R238</t>
  </si>
  <si>
    <t xml:space="preserve">Unived</t>
  </si>
  <si>
    <t xml:space="preserve">Plant-based Ovegha</t>
  </si>
  <si>
    <t xml:space="preserve">FWE.18.17</t>
  </si>
  <si>
    <t xml:space="preserve">https://www.trustified.in/passandfail/plantbasedovegha</t>
  </si>
  <si>
    <t xml:space="preserve">R239</t>
  </si>
  <si>
    <t xml:space="preserve">Nestlé</t>
  </si>
  <si>
    <t xml:space="preserve">Nanpro Stage 1</t>
  </si>
  <si>
    <t xml:space="preserve">Kids &amp; infant</t>
  </si>
  <si>
    <t xml:space="preserve">Infant formula</t>
  </si>
  <si>
    <t xml:space="preserve">43010453J2</t>
  </si>
  <si>
    <t xml:space="preserve">https://www.trustified.in/passandfail/nestlenanpro</t>
  </si>
  <si>
    <t xml:space="preserve">R240</t>
  </si>
  <si>
    <t xml:space="preserve">Abbott</t>
  </si>
  <si>
    <t xml:space="preserve">PediaSure 7+</t>
  </si>
  <si>
    <t xml:space="preserve">Kids nutrition drink</t>
  </si>
  <si>
    <t xml:space="preserve">704502UH</t>
  </si>
  <si>
    <t xml:space="preserve">https://www.trustified.in/passandfail/abottpediasure</t>
  </si>
  <si>
    <t xml:space="preserve">R241</t>
  </si>
  <si>
    <t xml:space="preserve">Gritzo</t>
  </si>
  <si>
    <t xml:space="preserve">Supermilk 2-6 years</t>
  </si>
  <si>
    <t xml:space="preserve">JJSMAK0154</t>
  </si>
  <si>
    <t xml:space="preserve">https://www.trustified.in/passandfail/supermilk2to6year</t>
  </si>
  <si>
    <t xml:space="preserve">Link corrected: the list tile pointed at a broken URL</t>
  </si>
  <si>
    <t xml:space="preserve">R242</t>
  </si>
  <si>
    <t xml:space="preserve">SuperMilk for Boys</t>
  </si>
  <si>
    <t xml:space="preserve">JJSMYAG0032</t>
  </si>
  <si>
    <t xml:space="preserve">https://www.trustified.in/passandfail/gritzoforboys</t>
  </si>
  <si>
    <t xml:space="preserve">R243</t>
  </si>
  <si>
    <t xml:space="preserve">SuperMilk for Boys 13 years</t>
  </si>
  <si>
    <t xml:space="preserve">JJSMTGHC0135</t>
  </si>
  <si>
    <t xml:space="preserve">https://www.trustified.in/passandfail/gritzoforboys13years</t>
  </si>
  <si>
    <t xml:space="preserve">Age band is shown as '13 years' on Trustified; check the report</t>
  </si>
  <si>
    <t xml:space="preserve">R244</t>
  </si>
  <si>
    <t xml:space="preserve">SuperMilk for Girls</t>
  </si>
  <si>
    <t xml:space="preserve">JJSMYBHC01</t>
  </si>
  <si>
    <t xml:space="preserve">https://www.trustified.in/passandfail/gritzoforgirls</t>
  </si>
  <si>
    <t xml:space="preserve">R245</t>
  </si>
  <si>
    <t xml:space="preserve">SuperMilk for Girls 13 years</t>
  </si>
  <si>
    <t xml:space="preserve">JJSMTBHC02</t>
  </si>
  <si>
    <t xml:space="preserve">https://www.trustified.in/passandfail/gritzoforgirls13years</t>
  </si>
  <si>
    <t xml:space="preserve">Quick-commerce listings seen (evidence behind the platform flags)</t>
  </si>
  <si>
    <t xml:space="preserve">Seen on 2 Oct 2026 via public web search and page fetches, no delivery pincode. Listings, prices and ratings change daily. Ratings counts are cumulative.</t>
  </si>
  <si>
    <t xml:space="preserve">Product line</t>
  </si>
  <si>
    <t xml:space="preserve">Platform</t>
  </si>
  <si>
    <t xml:space="preserve">Listing, pack and price seen</t>
  </si>
  <si>
    <t xml:space="preserve">Ratings count</t>
  </si>
  <si>
    <t xml:space="preserve">Evidence</t>
  </si>
  <si>
    <t xml:space="preserve">Seen on</t>
  </si>
  <si>
    <t xml:space="preserve">Listing URL</t>
  </si>
  <si>
    <t xml:space="preserve">Amul Taaza Toned Milk</t>
  </si>
  <si>
    <t xml:space="preserve">Amul Taaza Toned Fresh Milk Pouch · 500 ml ₹30</t>
  </si>
  <si>
    <t xml:space="preserve">Listing page</t>
  </si>
  <si>
    <t xml:space="preserve">https://www.zepto.com/pn/amul-taaza-toned-fresh-milk-pouch/pvid/9d447ba5-1d35-46e1-bc64-e932135d026f</t>
  </si>
  <si>
    <t xml:space="preserve">Rated 4.7</t>
  </si>
  <si>
    <t xml:space="preserve">Amul Taaza Homogenised Toned Milk · 6 x 1 L ₹462</t>
  </si>
  <si>
    <t xml:space="preserve">https://www.bigbasket.com/product-reviews/1202684/amul-taaza-homogenised-toned-milk-6x1-l/</t>
  </si>
  <si>
    <t xml:space="preserve">Amul Taaza Toned Milk · 500 ml ₹30, 1 L ₹59</t>
  </si>
  <si>
    <t xml:space="preserve">https://blinkit.com/prn/amul-taaza-toned-milk/prid/19512</t>
  </si>
  <si>
    <t xml:space="preserve">Amul Taaza Fresh Toned Milk · 200 ml carton</t>
  </si>
  <si>
    <t xml:space="preserve">https://www.bigbasket.com/pd/70001832/amul-taaza-fresh-toned-milk-200-ml-carton/</t>
  </si>
  <si>
    <t xml:space="preserve">Amul Gold Full Cream Milk</t>
  </si>
  <si>
    <t xml:space="preserve">Amul Gold Full Cream Fresh Milk Pouch · 500 ml ₹36</t>
  </si>
  <si>
    <t xml:space="preserve">https://www.zepto.com/pn/amul-gold-full-cream-fresh-milk-pouch/pvid/51d55eac-ca29-4532-9b32-9b7d317f346a</t>
  </si>
  <si>
    <t xml:space="preserve">Amul Gold Full Cream Fresh Milk Pouch · 1 L ₹72</t>
  </si>
  <si>
    <t xml:space="preserve">https://www.zepto.com/pn/amul-gold-full-cream-fresh-milk-pouch/pvid/a3277b40-243f-4bd5-a38e-af3a77b837e1</t>
  </si>
  <si>
    <t xml:space="preserve">Amul Gold Full Cream Milk · 500 ml ₹36, 1 L ₹72</t>
  </si>
  <si>
    <t xml:space="preserve">https://blinkit.com/prn/amul-gold-full-cream-milk/prid/12872</t>
  </si>
  <si>
    <t xml:space="preserve">Amul Gold · 500 ml pouch ₹32</t>
  </si>
  <si>
    <t xml:space="preserve">https://www.bigbasket.com/pd/40090893/amul-amul-gold-500-ml-pouch/</t>
  </si>
  <si>
    <t xml:space="preserve">Mother Dairy Cow Milk</t>
  </si>
  <si>
    <t xml:space="preserve">Mother Dairy Cow Fresh Milk Pouch · 500 ml ₹31</t>
  </si>
  <si>
    <t xml:space="preserve">https://www.zepto.com/pn/mother-dairy-cow-fresh-milk-pouch/pvid/3b2f7706-f70f-474d-911b-13aebfa73bcc</t>
  </si>
  <si>
    <t xml:space="preserve">Mother Dairy Cow Milk · 500 ml ₹31, 1 L ₹62</t>
  </si>
  <si>
    <t xml:space="preserve">https://blinkit.com/prn/mother-dairy-cow-milk/prid/339309</t>
  </si>
  <si>
    <t xml:space="preserve">https://www.swiggy.com/instamart/p/mother-dairy-cow-milk-NDK4IQP8PU</t>
  </si>
  <si>
    <t xml:space="preserve">Mother Dairy Cow Milk · 500 ml pouch</t>
  </si>
  <si>
    <t xml:space="preserve">https://www.bigbasket.com/pd/40147030/mother-dairy-cow-milk-500-ml-pouch/</t>
  </si>
  <si>
    <t xml:space="preserve">Country Delight Cow Milk</t>
  </si>
  <si>
    <t xml:space="preserve">Country Delight Cow Fresh Milk Pouch · ₹46</t>
  </si>
  <si>
    <t xml:space="preserve">https://www.zepto.com/pn/country-delight-cow-fresh-milk-pouch/pvid/ed495088-935c-44a9-919b-b667fde1ac87</t>
  </si>
  <si>
    <t xml:space="preserve">Country Delight Natural Fresh Cow Milk 25 g Protein Pouch · 450 ml ₹55</t>
  </si>
  <si>
    <t xml:space="preserve">https://www.zepto.com/pn/country-delight-natural-fresh-cow-milk-25g-protein-pouch/pvid/f1f1d95f-ada9-48f7-ab10-f094bb40337b</t>
  </si>
  <si>
    <t xml:space="preserve">Protein-fortified SKU, a different pack from the regular pouch</t>
  </si>
  <si>
    <t xml:space="preserve">Country Delight Cow Milk · ₹47</t>
  </si>
  <si>
    <t xml:space="preserve">https://blinkit.com/prn/country-delight-cow-milk/prid/637875</t>
  </si>
  <si>
    <t xml:space="preserve">Country Delight Cow Milk · 450 ml ₹47</t>
  </si>
  <si>
    <t xml:space="preserve">https://www.swiggy.com/instamart/p/country-delight-cow-milk-FJJPD63RDQ</t>
  </si>
  <si>
    <t xml:space="preserve">Amul Masti Dahi (cup)</t>
  </si>
  <si>
    <t xml:space="preserve">Amul Masti Set Curd · tub ₹102</t>
  </si>
  <si>
    <t xml:space="preserve">https://www.zepto.com/pn/amul-masti-set-curd-tub/pvid/cf8c88da-d6d3-40af-893c-db15c351513b</t>
  </si>
  <si>
    <t xml:space="preserve">Tub, not the cup pack tested</t>
  </si>
  <si>
    <t xml:space="preserve">Amul Masti Dahi · 200 g cup ₹22.58</t>
  </si>
  <si>
    <t xml:space="preserve">https://www.bigbasket.com/pd/30000356/amul-masti-dahi-200-g-cup/</t>
  </si>
  <si>
    <t xml:space="preserve">Amul Masti Dahi · 5-cup pack ₹50</t>
  </si>
  <si>
    <t xml:space="preserve">https://www.bigbasket.com/product-reviews/1209011/amul-masti-dahi-5x85-g-cup/</t>
  </si>
  <si>
    <t xml:space="preserve">URL slug says 5x85 g</t>
  </si>
  <si>
    <t xml:space="preserve">Amul Masti Dahi (pouch)</t>
  </si>
  <si>
    <t xml:space="preserve">Amul Masti Pouch Curd</t>
  </si>
  <si>
    <t xml:space="preserve">https://blinkit.com/prn/amul-masti-pouch-curd/prid/99407</t>
  </si>
  <si>
    <t xml:space="preserve">Card shows '6.6 lac'; read as 660,000 (assumed)</t>
  </si>
  <si>
    <t xml:space="preserve">Amul Salted Butter</t>
  </si>
  <si>
    <t xml:space="preserve">Amul Salted Butter · 500 g ₹295</t>
  </si>
  <si>
    <t xml:space="preserve">https://www.zepto.com/pn/amul-salted-butter/pvid/fc2ffbca-a36b-4728-b6be-3168475f3b75</t>
  </si>
  <si>
    <t xml:space="preserve">Amul Salted Butter · 500 g ₹310, 100 g ₹63</t>
  </si>
  <si>
    <t xml:space="preserve">https://blinkit.com/prn/amul-salted-butter/prid/160</t>
  </si>
  <si>
    <t xml:space="preserve">Amul Butter · 500 g ~₹290</t>
  </si>
  <si>
    <t xml:space="preserve">Third-party page</t>
  </si>
  <si>
    <t xml:space="preserve">https://www.fantasticfood.in/food/amul-butter-500g</t>
  </si>
  <si>
    <t xml:space="preserve">Third-party page dated 19 Jun 2026; not confirmed on Instamart itself</t>
  </si>
  <si>
    <t xml:space="preserve">Amul Malai Fresh Paneer</t>
  </si>
  <si>
    <t xml:space="preserve">Amul Fresh Malai Paneer · ₹95</t>
  </si>
  <si>
    <t xml:space="preserve">https://www.zepto.com/pn/amul-fresh-malai-paneer/pvid/54099eb2-2d08-4013-a822-a3eebc72f19f</t>
  </si>
  <si>
    <t xml:space="preserve">Amul Malai Paneer · 200 g ₹99</t>
  </si>
  <si>
    <t xml:space="preserve">https://blinkit.com/prn/amul-malai-paneer/prid/191</t>
  </si>
  <si>
    <t xml:space="preserve">Amul Malai Fresh Paneer · 200 g ₹76</t>
  </si>
  <si>
    <t xml:space="preserve">https://www.bigbasket.com/pd/40096747/amul-malai-fresh-paneer-200-g/</t>
  </si>
  <si>
    <t xml:space="preserve">Amul Cow Ghee</t>
  </si>
  <si>
    <t xml:space="preserve">Amul Cow Ghee Pouch (classic, authentic) · ₹325</t>
  </si>
  <si>
    <t xml:space="preserve">https://www.zepto.com/pn/amul-cow-ghee-pouch-classic-authentic/pvid/c9f11f97-fdec-4f73-a7da-b83f599ef2f5</t>
  </si>
  <si>
    <t xml:space="preserve">Amul High Aroma Cow Ghee Jar · 200 ml ₹165</t>
  </si>
  <si>
    <t xml:space="preserve">https://www.swiggy.com/instamart/p/amul-high-aroma-cow-ghee-jar-XJD6YC5D62</t>
  </si>
  <si>
    <t xml:space="preserve">Amul Cow Ghee · 200 ml jar</t>
  </si>
  <si>
    <t xml:space="preserve">https://www.bigbasket.com/pd/40050538/amul-cow-ghee-200-ml-jar/</t>
  </si>
  <si>
    <t xml:space="preserve">Aashirvaad cow ghee (Svasti / Select)</t>
  </si>
  <si>
    <t xml:space="preserve">Aashirvaad Select Cow Ghee (cultured curd method) · 910 ml ₹724</t>
  </si>
  <si>
    <t xml:space="preserve">https://www.zepto.com/pn/aashirvaad-select-cow-ghee-made-with-cultured-curd-method/pvid/cf9fc46a-6fc6-44b8-bb65-efba05dac42c</t>
  </si>
  <si>
    <t xml:space="preserve">Select range, a sibling of the Svasti ghee tested</t>
  </si>
  <si>
    <t xml:space="preserve">Aashirvaad Svasti Cow Ghee · 1 L</t>
  </si>
  <si>
    <t xml:space="preserve">https://www.bigbasket.com/pd/40119174/aashirvaad-svasti-cow-ghee-1-l/</t>
  </si>
  <si>
    <t xml:space="preserve">Aashirvaad Svasti Pure Cow Ghee Pouch · 500 ml ₹481</t>
  </si>
  <si>
    <t xml:space="preserve">https://www.swiggy.com/instamart/p/aashirvaad-svasti-pure-cow-ghee-pouch-8UT03L73WS</t>
  </si>
  <si>
    <t xml:space="preserve">Aashirvaad Superior MP Atta</t>
  </si>
  <si>
    <t xml:space="preserve">Aashirvaad Superior MP Atta · 3 x 2 kg ₹348</t>
  </si>
  <si>
    <t xml:space="preserve">https://www.bigbasket.com/product-reviews/1235617/aashirvaad-superior-mp-atta-3x2-kg/</t>
  </si>
  <si>
    <t xml:space="preserve">Aashirvaad Superior MP Wheat Atta 0% Maida · 10 kg ₹570</t>
  </si>
  <si>
    <t xml:space="preserve">https://www.zepto.com/pn/superior-mp-wheat-atta-0-maida-aashirvaad/pvid/d156ac8e-53c1-4f40-aea8-3de5b28f948d</t>
  </si>
  <si>
    <t xml:space="preserve">Aashirvaad Superior MP Chakki Atta 0% Maida</t>
  </si>
  <si>
    <t xml:space="preserve">https://blinkit.com/prn/aashirvaad-superior-mp-chakki-atta-0-maida-100-atta/prid/344107</t>
  </si>
  <si>
    <t xml:space="preserve">Aashirvaad Superior MP Atta 100% Whole Wheat Flour 0% Maida</t>
  </si>
  <si>
    <t xml:space="preserve">https://www.swiggy.com/instamart/p/aashirvaad-superior-mp-atta-100-whole-wheat-flour-0-maida-J69QCY4JAN</t>
  </si>
  <si>
    <t xml:space="preserve">Tata Salt (vacuum evaporated, iodised)</t>
  </si>
  <si>
    <t xml:space="preserve">Tata Salt Vacuum Evaporated Iodised · ₹29</t>
  </si>
  <si>
    <t xml:space="preserve">https://www.zepto.com/pn/tata-salt-free-flowing-and-iodized-namak-vacuum-evaporated-salt-in-fresh/pvid/208bdb3c-da54-493a-9cb1-5b6c159ae9e1</t>
  </si>
  <si>
    <t xml:space="preserve">Tata Salt Vacuum Evaporated Iodised</t>
  </si>
  <si>
    <t xml:space="preserve">https://blinkit.com/prn/tata-salt-vacuum-evaporated-iodised/prid/105</t>
  </si>
  <si>
    <t xml:space="preserve">Tata Salt Iodised Namak Vacuum Evaporated Salt</t>
  </si>
  <si>
    <t xml:space="preserve">https://www.swiggy.com/instamart/p/tata-salt-iodised-namak-vacuum-evaporated-salt-UEURIRMFHO</t>
  </si>
  <si>
    <t xml:space="preserve">India Gate Basmati Rice Feast / Rozzana</t>
  </si>
  <si>
    <t xml:space="preserve">India Gate Basmati Rice Feast Rozzana · 1 kg pouch ₹125</t>
  </si>
  <si>
    <t xml:space="preserve">https://www.bigbasket.com/product-reviews/30000590/india-gate-basmati-rice-feast-rozzana-1-kg-pouch/</t>
  </si>
  <si>
    <t xml:space="preserve">India Gate All-Rounder Feast Rozzana Basmati Rice · 5 kg ₹494</t>
  </si>
  <si>
    <t xml:space="preserve">https://www.zepto.com/pn/india-gate-all-rounder-feast-rozzana-basmati-rice-aged-rice-fluffy-and-non-sticky/pvid/75118c7a-2b92-441a-995c-ea416b67c05e</t>
  </si>
  <si>
    <t xml:space="preserve">India Gate Basmati Rice Feast Rozzana</t>
  </si>
  <si>
    <t xml:space="preserve">https://www.swiggy.com/instamart/p/india-gate-basmati-rice-feast-rozzana-X1D0V8WZ2T</t>
  </si>
  <si>
    <t xml:space="preserve">Fortune Kachi Ghani Mustard Oil</t>
  </si>
  <si>
    <t xml:space="preserve">Fortune Kachi Ghani Pure Mustard Oil Jar · ₹1,014</t>
  </si>
  <si>
    <t xml:space="preserve">https://www.zepto.com/pn/fortune-kachi-ghani-pure-mustard-oil-jar/pvid/ad176cf4-ea73-45a8-bcc1-0fd1fe475236</t>
  </si>
  <si>
    <t xml:space="preserve">Fortune Premium Kachi Ghani Pure Mustard Oil · 910 g</t>
  </si>
  <si>
    <t xml:space="preserve">https://blinkit.com/prn/fortune-premium-kachi-ghani-pure-mustard-oil/prid/50</t>
  </si>
  <si>
    <t xml:space="preserve">Fortune Premium Kachi Ghani Pure Mustard Oil · 500 ml bottle</t>
  </si>
  <si>
    <t xml:space="preserve">https://www.bigbasket.com/pd/276764/fortune-fortune-premium-kachi-ghani-pure-mustard-oil-500-ml-bottle/</t>
  </si>
  <si>
    <t xml:space="preserve">Fortune Soya Chunks</t>
  </si>
  <si>
    <t xml:space="preserve">Fortune Soya Chunks Pouch · 1 kg ₹119</t>
  </si>
  <si>
    <t xml:space="preserve">https://www.zepto.com/pn/fortune-soya-chunks-pouch/pvid/ac6a76c9-5131-4855-963d-be340c0a0f4a</t>
  </si>
  <si>
    <t xml:space="preserve">Fortune Soya Chunks · 200 g carton ₹48</t>
  </si>
  <si>
    <t xml:space="preserve">https://www.bigbasket.com/product-reviews/40019481/fortune-soya-chunks-15x-more-protein-than-milk-200-g-carton/</t>
  </si>
  <si>
    <t xml:space="preserve">Fortune Soya Chunks · 200 g ₹47</t>
  </si>
  <si>
    <t xml:space="preserve">https://blinkit.com/prn/fortune-soya-chunks/prid/17571</t>
  </si>
  <si>
    <t xml:space="preserve">Maggi Masala-ae-Magic</t>
  </si>
  <si>
    <t xml:space="preserve">Maggi Masala-ae-Magic Sabzi Masala · ₹59</t>
  </si>
  <si>
    <t xml:space="preserve">https://www.zepto.com/pn/maggi-masala-ae-magic-sabzi-masala/pvid/e3c9d6f1-6854-49ad-b31c-42a33ccf2d60</t>
  </si>
  <si>
    <t xml:space="preserve">Maggi Masala-ae-Magic All-in-One Masala · 120 g ₹87 / 72 g ₹55</t>
  </si>
  <si>
    <t xml:space="preserve">https://www.bigbasket.com/pd/40222045/maggi-masala-ae-magic-all-in-one-masala-for-dry-vegetables-paneer-dal-more-120-g/</t>
  </si>
  <si>
    <t xml:space="preserve">Maggi Masala-ae-Magic Sabzi Masala</t>
  </si>
  <si>
    <t xml:space="preserve">https://blinkit.com/prn/maggi-masala-ae-magic-sabzi-masala/prid/383252</t>
  </si>
  <si>
    <t xml:space="preserve">Maggi Masala-ae-Magic · 72 g ₹56</t>
  </si>
  <si>
    <t xml:space="preserve">https://www.swiggy.com/instamart/p/maggi-masala-ae-magic-HXU8O1FGXT</t>
  </si>
  <si>
    <t xml:space="preserve">MDH Deggi Mirch</t>
  </si>
  <si>
    <t xml:space="preserve">MDH Deggi Mirch Powder · 100 g ₹73</t>
  </si>
  <si>
    <t xml:space="preserve">https://www.zepto.com/pn/mdh-deggi-mirch-powder/pvid/e894a7e7-44b2-4bbe-a72f-ce910cfe6c80</t>
  </si>
  <si>
    <t xml:space="preserve">MDH Powder Deggi Mirch · 100 g carton</t>
  </si>
  <si>
    <t xml:space="preserve">https://www.bigbasket.com/pd/260799/mdh-powder-deggi-mirch-100-g-carton/</t>
  </si>
  <si>
    <t xml:space="preserve">MDH Deggi Red Chilli Powder</t>
  </si>
  <si>
    <t xml:space="preserve">https://blinkit.com/prn/mdh-deggi-red-chilli-powder/prid/86</t>
  </si>
  <si>
    <t xml:space="preserve">Everest Kashmirilal Mirch</t>
  </si>
  <si>
    <t xml:space="preserve">Everest Kashmiri Lal Chilli Powder · ₹122</t>
  </si>
  <si>
    <t xml:space="preserve">https://www.zepto.com/pn/everest-kashmiri-lal-chilli-powder/pvid/b5968a05-9660-4aa0-af5d-2841695352e8</t>
  </si>
  <si>
    <t xml:space="preserve">Everest Kashmiri Lal Chilli Powder · ₹205 (larger pack)</t>
  </si>
  <si>
    <t xml:space="preserve">https://www.zepto.com/pn/everest-kashmiri-lal-chilli-powder/pvid/8295695a-71e2-4675-940b-d697c60ea7e1</t>
  </si>
  <si>
    <t xml:space="preserve">Everest Kashmirilal Brilliant Red Chilli Powder</t>
  </si>
  <si>
    <t xml:space="preserve">https://www.swiggy.com/instamart/p/everest-kashmirilal-brilliant-red-chilli-powder-91WZ35WQNQ</t>
  </si>
  <si>
    <t xml:space="preserve">Everest Powder Kashmirilal Chilli · 50 g</t>
  </si>
  <si>
    <t xml:space="preserve">https://www.bigbasket.com/pd/40059446/everest-powder-kashmirilal-chilli-50-g/</t>
  </si>
  <si>
    <t xml:space="preserve">Brooke Bond Taaza Tea</t>
  </si>
  <si>
    <t xml:space="preserve">Brooke Bond Tea Taaza · 250 g pouch</t>
  </si>
  <si>
    <t xml:space="preserve">https://www.bigbasket.com/pd/40002086/brooke-bond-tea-taaza-250-g-pouch/</t>
  </si>
  <si>
    <t xml:space="preserve">Brooke Bond Taaza Tea · 1 kg ₹250</t>
  </si>
  <si>
    <t xml:space="preserve">https://www.zepto.com/pn/taaza-tea/pvid/199bd75d-a96b-44cb-bf3a-fb24fe3d71da</t>
  </si>
  <si>
    <t xml:space="preserve">Brooke Bond Taaza Tea · 250 g ₹60, 2 x 250 g ₹119</t>
  </si>
  <si>
    <t xml:space="preserve">https://blinkit.com/prn/brooke-bond-taaza-tea-250-g-pack-of-2/prid/483354</t>
  </si>
  <si>
    <t xml:space="preserve">Nescafe Classic Instant Coffee</t>
  </si>
  <si>
    <t xml:space="preserve">Nescafe Classic Instant Coffee Powder (sachets) · ₹135</t>
  </si>
  <si>
    <t xml:space="preserve">https://www.zepto.com/pn/nescafe-classic-instant-coffee-powder-pure-coffee-sachets/pvid/c6f424e1-01e7-4d5f-9514-d246afe8b86b</t>
  </si>
  <si>
    <t xml:space="preserve">Nescafe Classic 100% Pure Instant Coffee Powder</t>
  </si>
  <si>
    <t xml:space="preserve">https://blinkit.com/prn/nescafe-classic-100-pure-instant-coffee-powder/prid/476609</t>
  </si>
  <si>
    <t xml:space="preserve">Nescafe Classic Instant Coffee with mug · 180 g ₹755</t>
  </si>
  <si>
    <t xml:space="preserve">https://www.swiggy.com/stores/instamart/p/nescafe-classic-instant-coffee-powder-with-over-analyzer-mug-H0D5KMFZ9X</t>
  </si>
  <si>
    <t xml:space="preserve">Bundle with a mug</t>
  </si>
  <si>
    <t xml:space="preserve">Nescafe Classic 100% Pure Instant Coffee · 25 g jar</t>
  </si>
  <si>
    <t xml:space="preserve">https://www.bigbasket.com/pd/267376/nescafe-classic-100-pure-instant-coffee-25-g-jar/</t>
  </si>
  <si>
    <t xml:space="preserve">Kissan Fresh Tomato Ketchup</t>
  </si>
  <si>
    <t xml:space="preserve">https://blinkit.com/prn/kissan-fresh-tomato-ketchup/prid/476046</t>
  </si>
  <si>
    <t xml:space="preserve">Kissan Fresh Tomato Ketchup · ₹99</t>
  </si>
  <si>
    <t xml:space="preserve">https://www.zepto.com/pn/kissan-fresh-tomato-ketchup/pvid/065707f5-d5fc-4c08-a13a-caba8e89a63c</t>
  </si>
  <si>
    <t xml:space="preserve">Kissan Fresh Tomato Ketchup · 500 g bottle</t>
  </si>
  <si>
    <t xml:space="preserve">https://www.bigbasket.com/pd/266541/kissan-fresh-tomato-ketchup-500-g-bottle/</t>
  </si>
  <si>
    <t xml:space="preserve">Kellogg's Corn Flakes (Original)</t>
  </si>
  <si>
    <t xml:space="preserve">Kellogg's Corn Flakes · 1.15 kg ₹365</t>
  </si>
  <si>
    <t xml:space="preserve">https://www.zepto.com/pn/kelloggs-corn-flakes/pvid/46fa29da-b407-4a95-836a-670e4961bfe7</t>
  </si>
  <si>
    <t xml:space="preserve">Kellogg's Original Corn Flakes · 475 g ₹166</t>
  </si>
  <si>
    <t xml:space="preserve">https://www.zepto.com/pn/kelloggs-original-corn-flakes/pvid/bd5b6424-330a-4392-a4d8-aad748363acc</t>
  </si>
  <si>
    <t xml:space="preserve">Kellogg's Original Corn Flakes · 900 g ₹395</t>
  </si>
  <si>
    <t xml:space="preserve">https://www.zeptonow.com/pn/kelloggs-original-corn-flakes/pvid/bce3d20a-69b0-47a0-80ef-324d2f5ac959</t>
  </si>
  <si>
    <t xml:space="preserve">Kellogg's Original Cereals Corn Flakes · 475 g ₹175-205</t>
  </si>
  <si>
    <t xml:space="preserve">https://blinkit.com/prn/kelloggs-original-cereals-corn-flakes/prid/129</t>
  </si>
  <si>
    <t xml:space="preserve">Out of stock on one view</t>
  </si>
  <si>
    <t xml:space="preserve">Kellogg's Original Corn Flakes · 1.15 kg ₹336</t>
  </si>
  <si>
    <t xml:space="preserve">https://blinkit.com/prn/kelloggs-original-corn-flakes/prid/406721</t>
  </si>
  <si>
    <t xml:space="preserve">Saffola Oats</t>
  </si>
  <si>
    <t xml:space="preserve">Saffola Oats Instant Rolled Oats · 1 kg + 300 g ₹219</t>
  </si>
  <si>
    <t xml:space="preserve">https://www.zepto.com/pn/saffola-oats-instant-rolled-oats-soft-creamy-oats-power-of-protein-iron-fibre/pvid/e14564e8-eb16-452b-b18e-04f088f4f99e</t>
  </si>
  <si>
    <t xml:space="preserve">Saffola Natural Instant Oats · rolled oats ~460 g ₹90</t>
  </si>
  <si>
    <t xml:space="preserve">https://blinkit.com/prn/saffola-natural-instant-oats-500-g/prid/24626</t>
  </si>
  <si>
    <t xml:space="preserve">Haldiram's Salted Peanuts</t>
  </si>
  <si>
    <t xml:space="preserve">Haldiram's Salted Peanut · 200 g ₹60</t>
  </si>
  <si>
    <t xml:space="preserve">https://www.zepto.com/pn/haldirams-salted-peanut/pvid/433d67d1-416e-431c-921b-84898116b255</t>
  </si>
  <si>
    <t xml:space="preserve">Haldiram's Classic Salted Peanuts</t>
  </si>
  <si>
    <t xml:space="preserve">https://blinkit.com/prn/haldirams-classic-salted-peanuts/prid/605</t>
  </si>
  <si>
    <t xml:space="preserve">Haldiram Delhi Classic Salted Peanuts</t>
  </si>
  <si>
    <t xml:space="preserve">https://www.swiggy.com/stores/instamart/p/haldiram-delhi-classic-salted-peanuts-SMAHT7DMNY</t>
  </si>
  <si>
    <t xml:space="preserve">Haldiram's Namkeen Salted Peanuts · 40 g pouch</t>
  </si>
  <si>
    <t xml:space="preserve">https://www.bigbasket.com/pd/20002982/haldirams-namkeen-salted-peanuts-40-g-pouch/</t>
  </si>
  <si>
    <t xml:space="preserve">Britannia 100% Whole Wheat Bread</t>
  </si>
  <si>
    <t xml:space="preserve">Britannia 100% Whole Wheat Bread · ₹65</t>
  </si>
  <si>
    <t xml:space="preserve">https://blinkit.com/prn/britannia-100-whole-wheat-bread/prid/127031</t>
  </si>
  <si>
    <t xml:space="preserve">Britannia 100% Whole Wheat Bread (No Maida)</t>
  </si>
  <si>
    <t xml:space="preserve">https://www.swiggy.com/instamart/p/britannia-100-whole-wheat-bread-no-maida-JKIZPNZMWB</t>
  </si>
  <si>
    <t xml:space="preserve">Britannia Whole Wheat Bread (rich in dietary fibre) · 450 g ₹55</t>
  </si>
  <si>
    <t xml:space="preserve">https://www.bigbasket.com/pd/40062411/britannia-whole-wheat-bread-rich-in-dietary-fibre-450-g/</t>
  </si>
  <si>
    <t xml:space="preserve">Cadbury Bournville 50% Dark</t>
  </si>
  <si>
    <t xml:space="preserve">Cadbury Bournville Rich Cocoa 50% Dark Chocolate Bar · 75 g ₹129</t>
  </si>
  <si>
    <t xml:space="preserve">https://blinkit.com/prn/cadbury-bournville-rich-cocoa-50-dark-chocolate-bar/prid/556</t>
  </si>
  <si>
    <t xml:space="preserve">Cadbury Bournville 70% Dark</t>
  </si>
  <si>
    <t xml:space="preserve">Cadbury Bournville 70% · 75 g ₹143</t>
  </si>
  <si>
    <t xml:space="preserve">Brand page</t>
  </si>
  <si>
    <t xml:space="preserve">https://blinkit.com/brand/Cadbury%20Bournville</t>
  </si>
  <si>
    <t xml:space="preserve">Brand page, not a product page</t>
  </si>
  <si>
    <t xml:space="preserve">Pintola Peanut Butter</t>
  </si>
  <si>
    <t xml:space="preserve">Pintola All Natural Peanut Butter Crunchy · ₹156</t>
  </si>
  <si>
    <t xml:space="preserve">https://www.zepto.com/pn/pintola-all-natural-peanut-butter-crunchy/pvid/a2b3f4dd-5c83-472b-801c-158e2845231d</t>
  </si>
  <si>
    <t xml:space="preserve">Pintola All Natural Crunchy Peanut Butter (unsweetened)</t>
  </si>
  <si>
    <t xml:space="preserve">https://blinkit.com/prn/pintola-all-natural-crunchy-peanut-butter-unsweetened/prid/425544</t>
  </si>
  <si>
    <t xml:space="preserve">Pintola Organic Peanut Butter Crunchy Unsweetened · 350 g</t>
  </si>
  <si>
    <t xml:space="preserve">https://www.bigbasket.com/pd/40127459/pintola-organic-peanut-butter-crunchy-unsweetened-100-natural-350-g/</t>
  </si>
  <si>
    <t xml:space="preserve">Sundrop Peanut Butter (Creamy)</t>
  </si>
  <si>
    <t xml:space="preserve">Sundrop Peanut Butter Creamy Jar · 924 g ₹254-275</t>
  </si>
  <si>
    <t xml:space="preserve">https://www.zepto.com/pn/sundrop-peanut-butter-creamy-jar/pvid/fe1db8af-fad9-45f9-be6f-acf7277bc43c</t>
  </si>
  <si>
    <t xml:space="preserve">1,900 on a second view</t>
  </si>
  <si>
    <t xml:space="preserve">Sundrop Peanut Butter 100% Natural Creamy · ₹254</t>
  </si>
  <si>
    <t xml:space="preserve">https://www.zepto.com/pn/sundrop-peanut-butter-100-natural-creamy/pvid/8c40bdfc-92a6-4a4a-8413-970d2ab24bbe</t>
  </si>
  <si>
    <t xml:space="preserve">Sundrop Creamy Peanut Butter · 462 g ₹135-140</t>
  </si>
  <si>
    <t xml:space="preserve">https://blinkit.com/prn/sundrop-creamy-peanut-butter/prid/166</t>
  </si>
  <si>
    <t xml:space="preserve">Sundrop Creamy Peanut Butter · 924 g ₹265-285</t>
  </si>
  <si>
    <t xml:space="preserve">https://blinkit.com/prn/sundrop-creamy-peanut-butter/prid/404622</t>
  </si>
  <si>
    <t xml:space="preserve">Sundrop brand page (shows Honey Crunchy ₹99, 23,100 ratings)</t>
  </si>
  <si>
    <t xml:space="preserve">https://www.zeptonow.com/brand/Sundrop?spvid=48e07191-1911-425e-a71f-7b302308c306&amp;cart=open</t>
  </si>
  <si>
    <t xml:space="preserve">Honey Crunchy is a different variant, so its ratings are not counted</t>
  </si>
  <si>
    <t xml:space="preserve">Alpino Natural Peanut Butter</t>
  </si>
  <si>
    <t xml:space="preserve">Alpino Natural Peanut Butter Crunch Unsweetened · 1 kg ₹365</t>
  </si>
  <si>
    <t xml:space="preserve">https://www.zepto.com/pn/alpino-natural-peanut-butter-crunch-unsweetened/pvid/5a38f84a-1acc-46f7-87fa-534cb9917389</t>
  </si>
  <si>
    <t xml:space="preserve">Alpino Natural Smooth Unsweetened Peanut Butter</t>
  </si>
  <si>
    <t xml:space="preserve">https://blinkit.com/prn/alpino-natural-smooth-unsweetened-peanut-butter/prid/460593</t>
  </si>
  <si>
    <t xml:space="preserve">Alpino Natural Peanut Butter Smooth High Protein · ₹199</t>
  </si>
  <si>
    <t xml:space="preserve">https://www.zepto.com/pn/alpino-natural-peanut-butter-smooth-high-protein-peanut-butter-creamy-gluten-free-vegan/pvid/183e6f89-12dd-407f-8e57-96337930ff03</t>
  </si>
  <si>
    <t xml:space="preserve">Patanjali Honey</t>
  </si>
  <si>
    <t xml:space="preserve">Patanjali Honey Natural Shahed No Added Sugar · 500 g ₹163-189</t>
  </si>
  <si>
    <t xml:space="preserve">https://www.zepto.com/pn/patanjali-honey-natural-shahed-no-added-sugar-sahad/pvid/04b32871-ec18-4508-ac86-07403f338c72</t>
  </si>
  <si>
    <t xml:space="preserve">Patanjali Honey · 500 g ₹179</t>
  </si>
  <si>
    <t xml:space="preserve">Cached page</t>
  </si>
  <si>
    <t xml:space="preserve">https://blinkit.com/prn/patanjali-honey/prid/10732</t>
  </si>
  <si>
    <t xml:space="preserve">Cached copy about 616 days old</t>
  </si>
  <si>
    <t xml:space="preserve">Saffola Honey Active</t>
  </si>
  <si>
    <t xml:space="preserve">Saffola Honey Active (forest honey) · ₹131</t>
  </si>
  <si>
    <t xml:space="preserve">https://www.zepto.com/pn/saffola-honey-active-made-with-forest-honey-pure-honey-no-sugar-adulteration/pvid/1ecef729-ac17-4f2f-b7da-04b9bb3e0673</t>
  </si>
  <si>
    <t xml:space="preserve">Honey Active, not the Organic / Sundarbans variants tested</t>
  </si>
  <si>
    <t xml:space="preserve">Saffola Honey Active (second pack)</t>
  </si>
  <si>
    <t xml:space="preserve">https://www.zepto.com/pn/saffola-honey-active-made-with-forest-honey-pure-honey-no-sugar-adulteration/pvid/60963468-92f1-45d8-a876-e5fe20606a2d</t>
  </si>
  <si>
    <t xml:space="preserve">Saffola Honey Active · 500 g ₹202</t>
  </si>
  <si>
    <t xml:space="preserve">https://blinkit.com/prn/saffola-honey-active-500-g/prid/425301</t>
  </si>
  <si>
    <t xml:space="preserve">Saffola Honey Active · ₹320</t>
  </si>
  <si>
    <t xml:space="preserve">https://blinkit.com/prn/saffola-honey-active/prid/425302</t>
  </si>
  <si>
    <t xml:space="preserve">MuscleBlaze Biozyme Performance Whey</t>
  </si>
  <si>
    <t xml:space="preserve">MuscleBlaze Biozyme Performance Whey Protein · Rich Chocolate</t>
  </si>
  <si>
    <t xml:space="preserve">https://blinkit.com/prn/muscleblaze-biozyme-performance-whey-protein-rich-chocolate/prid/539304</t>
  </si>
  <si>
    <t xml:space="preserve">Blinkit shows no ratings on the card</t>
  </si>
  <si>
    <t xml:space="preserve">MuscleBlaze Biozyme Iso Zero</t>
  </si>
  <si>
    <t xml:space="preserve">MuscleBlaze Biozyme Iso Zero 100% Pure Whey · Ice Cream Chocolate ₹4,799</t>
  </si>
  <si>
    <t xml:space="preserve">https://blinkit.com/prn/muscleblaze-biozyme-iso-zero-100percent-pure-whey-protein-(ice-cream-chocolate)/prid/548029</t>
  </si>
  <si>
    <t xml:space="preserve">The Whole Truth Crunchy Dark Chocolate Peanut Butter</t>
  </si>
  <si>
    <t xml:space="preserve">The Whole Truth Crunchy Dark Chocolate Peanut Butter · ₹171</t>
  </si>
  <si>
    <t xml:space="preserve">https://www.zepto.com/pn/the-whole-truth-crunchy-dark-chocolate-peanut-butter/pvid/d1e65392-14d3-4214-b6fa-9891465d70fe</t>
  </si>
  <si>
    <t xml:space="preserve">The Whole Truth Protein Bar</t>
  </si>
  <si>
    <t xml:space="preserve">The Whole Truth Peanut Butter Protein Bar · ₹95</t>
  </si>
  <si>
    <t xml:space="preserve">https://www.zeptonow.com/pn/the-whole-truth-peanut-butter-protein-bar/pvid/0b313bc4-9c87-49e0-9403-fca8ea70bc25</t>
  </si>
  <si>
    <t xml:space="preserve">The Whole Truth Whey Protein, Light Cocoa</t>
  </si>
  <si>
    <t xml:space="preserve">The Whole Truth Whey Protein Light Cocoa · 1 kg (brand page)</t>
  </si>
  <si>
    <t xml:space="preserve">https://www.zepto.com/brand/The_whole_truth/a95ddf16-f4e2-4933-845c-b95defe6c44f</t>
  </si>
  <si>
    <t xml:space="preserve">The Whole Truth Raw Whey Protein Isolate, Unflavoured</t>
  </si>
  <si>
    <t xml:space="preserve">The Whole Truth Unflavoured Isolate · ₹3,570 (MRP ₹4,999) (brand page)</t>
  </si>
  <si>
    <t xml:space="preserve">Yoga Bar protein bars (brand level)</t>
  </si>
  <si>
    <t xml:space="preserve">Yoga Bar Assorted Breakfast Protein Bar · pack of 6</t>
  </si>
  <si>
    <t xml:space="preserve">https://blinkit.com/prn/yoga-bar-assorted-breakfast-protein-bar-pack-of-6/prid/475628</t>
  </si>
  <si>
    <t xml:space="preserve">Different Yoga Bar variant (brand-level evidence)</t>
  </si>
  <si>
    <t xml:space="preserve">Yoga Bar Power Up 20 g Protein Bar Coffee Crush No Added Sugar</t>
  </si>
  <si>
    <t xml:space="preserve">https://www.zepto.com/pn/yoga-bar-power-up-20g-protein-bar-coffee-crush-no-added-sugar/pvid/0e9cca8e-0250-4e3a-aa15-c498248a7c9d</t>
  </si>
  <si>
    <t xml:space="preserve">What sells on quick commerce: published signals</t>
  </si>
  <si>
    <t xml:space="preserve">Public reporting and data I found. None is a sales rank for the products in this workbook; they set which categories get the QC-category points.</t>
  </si>
  <si>
    <t xml:space="preserve">Period</t>
  </si>
  <si>
    <t xml:space="preserve">Signal</t>
  </si>
  <si>
    <t xml:space="preserve">Detail</t>
  </si>
  <si>
    <t xml:space="preserve">How it is used here</t>
  </si>
  <si>
    <t xml:space="preserve">Blinkit, Zepto, BigBasket</t>
  </si>
  <si>
    <t xml:space="preserve">Oct 2026</t>
  </si>
  <si>
    <t xml:space="preserve">Ratings count on product pages</t>
  </si>
  <si>
    <t xml:space="preserve">Examples: Zepto Amul Gold 500 ml 1,581,833; Amul Taaza 1,214,721; Tata Salt 496,464; Amul Paneer 397,166. Instamart cards show no counts.</t>
  </si>
  <si>
    <t xml:space="preserve">Demand proxy: the highest count on any listing of a product line sets its demand tier. Cumulative and pooled across packs and pincodes, so it favours long-listed items. Not a sales rank.</t>
  </si>
  <si>
    <t xml:space="preserve">QC listings sheet</t>
  </si>
  <si>
    <t xml:space="preserve">2024</t>
  </si>
  <si>
    <t xml:space="preserve">Top five categories by orders</t>
  </si>
  <si>
    <t xml:space="preserve">Milk, curd, dosa batter, chips, soft drinks.</t>
  </si>
  <si>
    <t xml:space="preserve">Milk, Curd &amp; yoghurt and Packaged snacks (chips) are flagged as QC top-seller categories.</t>
  </si>
  <si>
    <t xml:space="preserve">NewsBytes</t>
  </si>
  <si>
    <t xml:space="preserve">Soft-drink volumes</t>
  </si>
  <si>
    <t xml:space="preserve">1.85 crore Coca-Cola cans, 84 lakh Thums Up and 14.6 lakh Maaza.</t>
  </si>
  <si>
    <t xml:space="preserve">Context only. No lab reports found for soft drinks.</t>
  </si>
  <si>
    <t xml:space="preserve">2025</t>
  </si>
  <si>
    <t xml:space="preserve">Top lines by city (Consumer Lens)</t>
  </si>
  <si>
    <t xml:space="preserve">Bengaluru: milk, tomatoes, packaged snacks. Mumbai: milk, onions, bottled water. Delhi NCR: milk, onions, chips. Hyderabad: milk, snacks, soft drinks.</t>
  </si>
  <si>
    <t xml:space="preserve">Milk tops every city: the strongest signal here. Snacks or chips appear in three of four.</t>
  </si>
  <si>
    <t xml:space="preserve">afaqs</t>
  </si>
  <si>
    <t xml:space="preserve">'How India Instamarted 2025'</t>
  </si>
  <si>
    <t xml:space="preserve">Milk, eggs, ice cream, bananas, mints.</t>
  </si>
  <si>
    <t xml:space="preserve">Ice cream is flagged as a QC top-seller category.</t>
  </si>
  <si>
    <t xml:space="preserve">BestMediaInfo</t>
  </si>
  <si>
    <t xml:space="preserve">Year-end billboard line</t>
  </si>
  <si>
    <t xml:space="preserve">'Someone ordered 1,758 protein bars this year.'</t>
  </si>
  <si>
    <t xml:space="preserve">One customer's orders, not a volume figure. It shows the category exists on Blinkit; nothing more.</t>
  </si>
  <si>
    <t xml:space="preserve">Media4Growth</t>
  </si>
  <si>
    <t xml:space="preserve">Zepto vs Blinkit</t>
  </si>
  <si>
    <t xml:space="preserve">Oct 2025</t>
  </si>
  <si>
    <t xml:space="preserve">Protein-bar assortment in Bengaluru</t>
  </si>
  <si>
    <t xml:space="preserve">636 protein bars listed: Zepto 409, Blinkit 227. Yoga Bar 321 listings (224 Zepto, 97 Blinkit); The Whole Truth 291 (185, 106); MuscleBlaze third.</t>
  </si>
  <si>
    <t xml:space="preserve">Shows assortment depth, not sales, so Protein bar is left unflagged by default (Scoring sheet).</t>
  </si>
  <si>
    <t xml:space="preserve">MetricsCart</t>
  </si>
  <si>
    <t xml:space="preserve">All QC</t>
  </si>
  <si>
    <t xml:space="preserve">Share of searches for a specific product</t>
  </si>
  <si>
    <t xml:space="preserve">About 40% of QC searches are for specific products (Elara Capital, via Bloomberg).</t>
  </si>
  <si>
    <t xml:space="preserve">Supports starting from named best-sellers rather than categories.</t>
  </si>
  <si>
    <t xml:space="preserve">Bloomberg</t>
  </si>
  <si>
    <t xml:space="preserve">2024-26</t>
  </si>
  <si>
    <t xml:space="preserve">Platform market share</t>
  </si>
  <si>
    <t xml:space="preserve">Blinkit about 44-46%, Zepto 29-30%, Instamart 23-25%.</t>
  </si>
  <si>
    <t xml:space="preserve">Why the Blinkit and Zepto columns come first. A low-quality third-party estimate; indicative only.</t>
  </si>
  <si>
    <t xml:space="preserve">CIIM blog</t>
  </si>
  <si>
    <t xml:space="preserve">Not used</t>
  </si>
  <si>
    <t xml:space="preserve">Jun 2026</t>
  </si>
  <si>
    <t xml:space="preserve">City 'bestseller' pages from a data vendor</t>
  </si>
  <si>
    <t xml:space="preserve">The pages show illustrative sample data, not real sales.</t>
  </si>
  <si>
    <t xml:space="preserve">Excluded.</t>
  </si>
  <si>
    <t xml:space="preserve">Actowiz</t>
  </si>
  <si>
    <t xml:space="preserve">Where the lab reports live</t>
  </si>
  <si>
    <t xml:space="preserve">Access and reuse terms as I found them on 2 Oct 2026. Not legal advice; the PRD's licence step still applies.</t>
  </si>
  <si>
    <t xml:space="preserve">URL</t>
  </si>
  <si>
    <t xml:space="preserve">What is public</t>
  </si>
  <si>
    <t xml:space="preserve">Reuse terms</t>
  </si>
  <si>
    <t xml:space="preserve">Coverage in this workbook</t>
  </si>
  <si>
    <t xml:space="preserve">Trustified: Pass/Fail</t>
  </si>
  <si>
    <t xml:space="preserve">Per product: brand, product name, batch tested, published date, lab (mostly Eurofins, a few TÜV NORD), status (Passed / Failed / Expired) and a report page.</t>
  </si>
  <si>
    <t xml:space="preserve">Open web, no login.</t>
  </si>
  <si>
    <t xml:space="preserve">No API and no reuse terms found. Treat showing their report content as needing written permission; linking out is the safe default.</t>
  </si>
  <si>
    <t xml:space="preserve">Rows from the main list plus the nut-butter and protein-bar category pages. The list also holds about 85 older entries (2023-24, many Expired) that were left out on purpose.</t>
  </si>
  <si>
    <t xml:space="preserve">Trustified: category pages</t>
  </si>
  <si>
    <t xml:space="preserve">The same tiles grouped by category: protein powders, creatine, mass gainer, omega-3, vitamins and minerals, breakfast cereals, protein bar, nut butters, pre-workout, shilajit, dark chocolate.</t>
  </si>
  <si>
    <t xml:space="preserve">Open web.</t>
  </si>
  <si>
    <t xml:space="preserve">Same as above.</t>
  </si>
  <si>
    <t xml:space="preserve">Nut butters, breakfast cereals, protein bar and dark chocolate were used to cross-check the main list.</t>
  </si>
  <si>
    <t xml:space="preserve">Trustified: NMR reports</t>
  </si>
  <si>
    <t xml:space="preserve">Honey NMR authenticity tests: brand, product, batch, published date, lab, report page. No pass/fail label on the list.</t>
  </si>
  <si>
    <t xml:space="preserve">Six honey brands (Vedaka, Apis, Patanjali, Saffola x2, Zandu), shown as 'Report published'.</t>
  </si>
  <si>
    <t xml:space="preserve">The Whole Truth: lab-report hub</t>
  </si>
  <si>
    <t xml:space="preserve">Batch-wise lab PDFs (Google Drive) for every whey and plant-protein batch, tested at NABL-accredited labs. Columns: category, name, batch, manufacturing date, report. Reports start Jul 2024; latest batches dated 15-21 Sep 2026.</t>
  </si>
  <si>
    <t xml:space="preserve">Open Notion page and Drive PDFs.</t>
  </si>
  <si>
    <t xml:space="preserve">The brand's own publication. Ask the brand before reusing content; missing reports can be requested at listen@thewholetruthfoods.com.</t>
  </si>
  <si>
    <t xml:space="preserve">Six products summarised from the 15-21 Sep 2026 batches (latest report shown per product). Older batches are on the hub.</t>
  </si>
  <si>
    <t xml:space="preserve">MuscleBlaze: batch lookup</t>
  </si>
  <si>
    <t xml:space="preserve">https://www.muscleblaze.com</t>
  </si>
  <si>
    <t xml:space="preserve">Batch-wise NABL report found by entering the authenticity code from the pack; Labdoor and Informed Choice certificates for some products.</t>
  </si>
  <si>
    <t xml:space="preserve">Open, but needs a pack code, so it cannot be browsed.</t>
  </si>
  <si>
    <t xml:space="preserve">Brand's own; ask before reuse.</t>
  </si>
  <si>
    <t xml:space="preserve">Not in the rows. MuscleBlaze appears via Trustified pages and Unbox grades.</t>
  </si>
  <si>
    <t xml:space="preserve">Letter grades (A+ to D) and sub-scores for products bought on the open market and tested at NABL labs (up to 3 per sample). A rating expires and then shows 'Previously Rated'.</t>
  </si>
  <si>
    <t xml:space="preserve">Grades visible without login; the full lab report needs a free login.</t>
  </si>
  <si>
    <t xml:space="preserve">A direct competitor to the idea. Link out only; do not copy grades or reports without permission.</t>
  </si>
  <si>
    <t xml:space="preserve">Peanut butters, protein bars, energy bars, chips and puffs, cereals, cookies, ghee and others that I could see. Some grades were not captured.</t>
  </si>
  <si>
    <t xml:space="preserve">Scoring and assumptions</t>
  </si>
  <si>
    <t xml:space="preserve">Blue cells are inputs: change them and every score, rank and the Shortlist recalculate. Black cells are formulas.</t>
  </si>
  <si>
    <t xml:space="preserve">Parameter</t>
  </si>
  <si>
    <t xml:space="preserve">Value</t>
  </si>
  <si>
    <t xml:space="preserve">What it does</t>
  </si>
  <si>
    <t xml:space="preserve">As-of date</t>
  </si>
  <si>
    <t xml:space="preserve">Report age is measured to this date.</t>
  </si>
  <si>
    <t xml:space="preserve">Points per platform with a confirmed listing</t>
  </si>
  <si>
    <t xml:space="preserve">Counted for Y flags only (listing or brand page seen). '?' and '–' score nothing. Up to 4 platforms.</t>
  </si>
  <si>
    <t xml:space="preserve">Points per demand tier</t>
  </si>
  <si>
    <t xml:space="preserve">Demand tier is 0-3, set by the ratings-count thresholds below.</t>
  </si>
  <si>
    <t xml:space="preserve">Points if the category is a QC top-seller category</t>
  </si>
  <si>
    <t xml:space="preserve">Looked up from the category table below.</t>
  </si>
  <si>
    <t xml:space="preserve">Ratings count for tier 1</t>
  </si>
  <si>
    <t xml:space="preserve">Top ratings count on any listing of the line at or above this value = tier 1.</t>
  </si>
  <si>
    <t xml:space="preserve">Ratings count for tier 2</t>
  </si>
  <si>
    <t xml:space="preserve">Tier 2 threshold.</t>
  </si>
  <si>
    <t xml:space="preserve">Ratings count for tier 3</t>
  </si>
  <si>
    <t xml:space="preserve">Tier 3 threshold.</t>
  </si>
  <si>
    <t xml:space="preserve">Freshness: months for the top band</t>
  </si>
  <si>
    <t xml:space="preserve">Dated reports this young or younger earn the top-band points.</t>
  </si>
  <si>
    <t xml:space="preserve">Freshness: points in the top band</t>
  </si>
  <si>
    <t xml:space="preserve">Freshness: months for the second band</t>
  </si>
  <si>
    <t xml:space="preserve">Dated reports older than the top band but within this earn the second-band points.</t>
  </si>
  <si>
    <t xml:space="preserve">Freshness: points in the second band</t>
  </si>
  <si>
    <t xml:space="preserve">Freshness: points when older than the second band</t>
  </si>
  <si>
    <t xml:space="preserve">Freshness: points when the report date is unknown</t>
  </si>
  <si>
    <t xml:space="preserve">Unbox rows and the two MuscleBlaze certified pages carry no date on the list page.</t>
  </si>
  <si>
    <t xml:space="preserve">Freshness: points when the verdict is Expired</t>
  </si>
  <si>
    <t xml:space="preserve">Overrides the age bands.</t>
  </si>
  <si>
    <t xml:space="preserve">Maximum possible score</t>
  </si>
  <si>
    <t xml:space="preserve">4 platforms + top demand tier + QC category + best freshness band.</t>
  </si>
  <si>
    <t xml:space="preserve">QC match level</t>
  </si>
  <si>
    <t xml:space="preserve">Factor</t>
  </si>
  <si>
    <t xml:space="preserve">Meaning</t>
  </si>
  <si>
    <t xml:space="preserve">Same product as the tested sample (pack size aside).</t>
  </si>
  <si>
    <t xml:space="preserve">Same brand line, but the tested SKU is not confirmed on the listing.</t>
  </si>
  <si>
    <t xml:space="preserve">The brand line is listed but the variant tested is a different one.</t>
  </si>
  <si>
    <t xml:space="preserve">The factor scales the platform and demand points only (not category or freshness).</t>
  </si>
  <si>
    <t xml:space="preserve">In QC top-seller lists (1 = yes)</t>
  </si>
  <si>
    <t xml:space="preserve">Top item in every QC ranking found (Instamart 2024 and 2025, Zepto 2025 in all four cities)</t>
  </si>
  <si>
    <t xml:space="preserve">Instamart 2024 top-five categories (curd)</t>
  </si>
  <si>
    <t xml:space="preserve">Instamart 2024 (chips), Zepto 2025 (Bengaluru, Delhi NCR, Hyderabad snacks/chips)</t>
  </si>
  <si>
    <t xml:space="preserve">Instamart 2025 top items</t>
  </si>
  <si>
    <t xml:space="preserve">No ranking found</t>
  </si>
  <si>
    <t xml:space="preserve">No ranking found (staples are bought, but no published order data)</t>
  </si>
  <si>
    <t xml:space="preserve">Assortment depth only (MetricsCart: 636 protein bars listed in Bengaluru), not sales. Set to 1 to favour it.</t>
  </si>
</sst>
</file>

<file path=xl/styles.xml><?xml version="1.0" encoding="utf-8"?>
<styleSheet xmlns="http://schemas.openxmlformats.org/spreadsheetml/2006/main">
  <numFmts count="9">
    <numFmt numFmtId="164" formatCode="General"/>
    <numFmt numFmtId="165" formatCode="#,##0"/>
    <numFmt numFmtId="166" formatCode="0"/>
    <numFmt numFmtId="167" formatCode="dd\ mmm\ yyyy"/>
    <numFmt numFmtId="168" formatCode="#,##0;\-#,##0;&quot;n/c&quot;"/>
    <numFmt numFmtId="169" formatCode="0.00"/>
    <numFmt numFmtId="170" formatCode="General"/>
    <numFmt numFmtId="171" formatCode="0.0"/>
    <numFmt numFmtId="172" formatCode="0.0000000"/>
  </numFmts>
  <fonts count="13">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sz val="10"/>
      <color rgb="FF7F7F7F"/>
      <name val="Arial"/>
      <family val="0"/>
      <charset val="1"/>
    </font>
    <font>
      <b val="true"/>
      <sz val="10"/>
      <color rgb="FF1F3A5F"/>
      <name val="Arial"/>
      <family val="0"/>
      <charset val="1"/>
    </font>
    <font>
      <sz val="10"/>
      <color rgb="FF0000FF"/>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D9E2F3"/>
        <bgColor rgb="FFDDEBF7"/>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EDEDED"/>
        <bgColor rgb="FFE2EFDA"/>
      </patternFill>
    </fill>
  </fills>
  <borders count="3">
    <border diagonalUp="false" diagonalDown="false">
      <left/>
      <right/>
      <top/>
      <bottom/>
      <diagonal/>
    </border>
    <border diagonalUp="false" diagonalDown="false">
      <left/>
      <right/>
      <top/>
      <bottom style="hair">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8" fontId="8" fillId="0" borderId="1" xfId="0" applyFont="true" applyBorder="true" applyAlignment="true" applyProtection="false">
      <alignment horizontal="center" vertical="top" textRotation="0" wrapText="false" indent="0" shrinkToFit="false"/>
      <protection locked="true" hidden="false"/>
    </xf>
    <xf numFmtId="169" fontId="8"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4" fontId="11" fillId="3" borderId="2" xfId="0" applyFont="true" applyBorder="true" applyAlignment="true" applyProtection="false">
      <alignment horizontal="center" vertical="bottom" textRotation="0" wrapText="false" indent="0" shrinkToFit="false"/>
      <protection locked="true" hidden="false"/>
    </xf>
    <xf numFmtId="164" fontId="11" fillId="4" borderId="2" xfId="0" applyFont="true" applyBorder="true" applyAlignment="true" applyProtection="false">
      <alignment horizontal="center" vertical="bottom" textRotation="0" wrapText="false" indent="0" shrinkToFit="false"/>
      <protection locked="true" hidden="false"/>
    </xf>
    <xf numFmtId="164" fontId="11" fillId="5" borderId="2" xfId="0" applyFont="true" applyBorder="true" applyAlignment="true" applyProtection="false">
      <alignment horizontal="center" vertical="bottom" textRotation="0" wrapText="false" indent="0" shrinkToFit="false"/>
      <protection locked="true" hidden="false"/>
    </xf>
    <xf numFmtId="164" fontId="11" fillId="6" borderId="2" xfId="0" applyFont="true" applyBorder="true" applyAlignment="true" applyProtection="false">
      <alignment horizontal="center" vertical="bottom" textRotation="0" wrapText="false" indent="0" shrinkToFit="false"/>
      <protection locked="true" hidden="false"/>
    </xf>
    <xf numFmtId="164" fontId="11" fillId="7" borderId="2"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72" fontId="10"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5" fontId="12"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63BE7B"/>
          <bgColor rgb="FF000000"/>
        </patternFill>
      </fill>
    </dxf>
    <dxf>
      <fill>
        <patternFill patternType="solid">
          <fgColor rgb="FF6FC385"/>
          <bgColor rgb="FF000000"/>
        </patternFill>
      </fill>
    </dxf>
    <dxf>
      <fill>
        <patternFill patternType="solid">
          <fgColor rgb="FF7AC88E"/>
          <bgColor rgb="FF000000"/>
        </patternFill>
      </fill>
    </dxf>
    <dxf>
      <fill>
        <patternFill patternType="solid">
          <fgColor rgb="FF85CC98"/>
          <bgColor rgb="FF000000"/>
        </patternFill>
      </fill>
    </dxf>
    <dxf>
      <fill>
        <patternFill patternType="solid">
          <fgColor rgb="FF90D1A1"/>
          <bgColor rgb="FF000000"/>
        </patternFill>
      </fill>
    </dxf>
    <dxf>
      <fill>
        <patternFill patternType="solid">
          <fgColor rgb="FF9BD6AB"/>
          <bgColor rgb="FF000000"/>
        </patternFill>
      </fill>
    </dxf>
    <dxf>
      <fill>
        <patternFill patternType="solid">
          <fgColor rgb="FFA6DAB4"/>
          <bgColor rgb="FF000000"/>
        </patternFill>
      </fill>
    </dxf>
    <dxf>
      <fill>
        <patternFill patternType="solid">
          <fgColor rgb="FFA9DCB6"/>
          <bgColor rgb="FF000000"/>
        </patternFill>
      </fill>
    </dxf>
    <dxf>
      <fill>
        <patternFill patternType="solid">
          <fgColor rgb="FFAFDEBB"/>
          <bgColor rgb="FF000000"/>
        </patternFill>
      </fill>
    </dxf>
    <dxf>
      <fill>
        <patternFill patternType="solid">
          <fgColor rgb="FFB1DFBD"/>
          <bgColor rgb="FF000000"/>
        </patternFill>
      </fill>
    </dxf>
    <dxf>
      <fill>
        <patternFill patternType="solid">
          <fgColor rgb="FFC8E8D0"/>
          <bgColor rgb="FF000000"/>
        </patternFill>
      </fill>
    </dxf>
    <dxf>
      <fill>
        <patternFill patternType="solid">
          <fgColor rgb="FFCBE9D3"/>
          <bgColor rgb="FF000000"/>
        </patternFill>
      </fill>
    </dxf>
    <dxf>
      <fill>
        <patternFill patternType="solid">
          <fgColor rgb="FFD3EDDA"/>
          <bgColor rgb="FF000000"/>
        </patternFill>
      </fill>
    </dxf>
    <dxf>
      <fill>
        <patternFill patternType="solid">
          <fgColor rgb="FFDBF0E1"/>
          <bgColor rgb="FF000000"/>
        </patternFill>
      </fill>
    </dxf>
    <dxf>
      <fill>
        <patternFill patternType="solid">
          <fgColor rgb="FFDEF2E3"/>
          <bgColor rgb="FF000000"/>
        </patternFill>
      </fill>
    </dxf>
    <dxf>
      <fill>
        <patternFill patternType="solid">
          <fgColor rgb="FFE9F6ED"/>
          <bgColor rgb="FF000000"/>
        </patternFill>
      </fill>
    </dxf>
    <dxf>
      <fill>
        <patternFill patternType="solid">
          <fgColor rgb="FFECF7EF"/>
          <bgColor rgb="FF000000"/>
        </patternFill>
      </fill>
    </dxf>
    <dxf>
      <fill>
        <patternFill patternType="solid">
          <fgColor rgb="FFEFF9F1"/>
          <bgColor rgb="FF000000"/>
        </patternFill>
      </fill>
    </dxf>
    <dxf>
      <fill>
        <patternFill patternType="solid">
          <fgColor rgb="FFF4FBF6"/>
          <bgColor rgb="FF000000"/>
        </patternFill>
      </fill>
    </dxf>
    <dxf>
      <fill>
        <patternFill patternType="solid">
          <fgColor rgb="FFF7FCF8"/>
          <bgColor rgb="FF000000"/>
        </patternFill>
      </fill>
    </dxf>
    <dxf>
      <fill>
        <patternFill patternType="solid">
          <fgColor rgb="FF0563C1"/>
          <bgColor rgb="FF000000"/>
        </patternFill>
      </fill>
    </dxf>
    <dxf>
      <fill>
        <patternFill patternType="solid">
          <fgColor rgb="FF7F7F7F"/>
          <bgColor rgb="FF000000"/>
        </patternFill>
      </fill>
    </dxf>
    <dxf>
      <font>
        <name val="Arial"/>
        <charset val="1"/>
        <family val="0"/>
        <color rgb="FF006100"/>
        <sz val="10"/>
      </font>
      <fill>
        <patternFill>
          <bgColor rgb="FFC6EFCE"/>
        </patternFill>
      </fill>
    </dxf>
    <dxf>
      <font>
        <name val="Arial"/>
        <charset val="1"/>
        <family val="0"/>
        <color rgb="FF9C0006"/>
        <sz val="10"/>
      </font>
      <fill>
        <patternFill>
          <bgColor rgb="FFFFC7CE"/>
        </patternFill>
      </fill>
    </dxf>
    <dxf>
      <font>
        <name val="Arial"/>
        <charset val="1"/>
        <family val="0"/>
        <color rgb="FF7F6000"/>
        <sz val="10"/>
      </font>
      <fill>
        <patternFill>
          <bgColor rgb="FFFFEB9C"/>
        </patternFill>
      </fill>
    </dxf>
    <dxf>
      <font>
        <name val="Arial"/>
        <charset val="1"/>
        <family val="0"/>
        <color rgb="FF1F3A5F"/>
        <sz val="10"/>
      </font>
      <fill>
        <patternFill>
          <bgColor rgb="FFDDEBF7"/>
        </patternFill>
      </fill>
    </dxf>
    <dxf>
      <font>
        <name val="Arial"/>
        <charset val="1"/>
        <family val="0"/>
        <color rgb="FF595959"/>
        <sz val="10"/>
      </font>
      <fill>
        <patternFill>
          <bgColor rgb="FFEDEDED"/>
        </patternFill>
      </fill>
    </dxf>
    <dxf>
      <fill>
        <patternFill patternType="solid">
          <fgColor rgb="FFEDEDED"/>
          <bgColor rgb="FF000000"/>
        </patternFill>
      </fill>
    </dxf>
    <dxf>
      <fill>
        <patternFill patternType="solid">
          <fgColor rgb="FF595959"/>
          <bgColor rgb="FF000000"/>
        </patternFill>
      </fill>
    </dxf>
    <dxf>
      <fill>
        <patternFill patternType="solid">
          <fgColor rgb="FFA6A6A6"/>
          <bgColor rgb="FF000000"/>
        </patternFill>
      </fill>
    </dxf>
    <dxf>
      <fill>
        <patternFill patternType="solid">
          <fgColor rgb="FFD8EFDE"/>
          <bgColor rgb="FF000000"/>
        </patternFill>
      </fill>
    </dxf>
    <dxf>
      <font>
        <name val="Arial"/>
        <charset val="1"/>
        <family val="0"/>
        <b val="1"/>
        <color rgb="FF006100"/>
        <sz val="10"/>
      </font>
      <fill>
        <patternFill>
          <bgColor rgb="FFC6EFCE"/>
        </patternFill>
      </fill>
    </dxf>
    <dxf>
      <font>
        <name val="Arial"/>
        <charset val="1"/>
        <family val="0"/>
        <b val="1"/>
        <color rgb="FF7F6000"/>
        <sz val="10"/>
      </font>
      <fill>
        <patternFill>
          <bgColor rgb="FFFFEB9C"/>
        </patternFill>
      </fill>
    </dxf>
    <dxf>
      <font>
        <name val="Arial"/>
        <charset val="1"/>
        <family val="0"/>
        <color rgb="FFA6A6A6"/>
        <sz val="10"/>
      </font>
    </dxf>
  </dxf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7F7F7F"/>
      <rgbColor rgb="FF9999FF"/>
      <rgbColor rgb="FF993366"/>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2F3"/>
      <rgbColor rgb="FFFCE4D6"/>
      <rgbColor rgb="FFEDEDED"/>
      <rgbColor rgb="FFFFC7CE"/>
      <rgbColor rgb="FF2F75B5"/>
      <rgbColor rgb="FF33CCCC"/>
      <rgbColor rgb="FF99CC00"/>
      <rgbColor rgb="FFFFCC00"/>
      <rgbColor rgb="FFBF8F00"/>
      <rgbColor rgb="FFFF6600"/>
      <rgbColor rgb="FF595959"/>
      <rgbColor rgb="FFA6A6A6"/>
      <rgbColor rgb="FF1F3A5F"/>
      <rgbColor rgb="FF54823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trustified.in/passandfail" TargetMode="External"/><Relationship Id="rId2" Type="http://schemas.openxmlformats.org/officeDocument/2006/relationships/hyperlink" Target="https://www.trustified.in/nmr-reports" TargetMode="External"/><Relationship Id="rId3" Type="http://schemas.openxmlformats.org/officeDocument/2006/relationships/hyperlink" Target="https://www.trustified.in/nut-butters" TargetMode="External"/><Relationship Id="rId4" Type="http://schemas.openxmlformats.org/officeDocument/2006/relationships/hyperlink" Target="https://www.trustified.in/proteinbar" TargetMode="External"/><Relationship Id="rId5" Type="http://schemas.openxmlformats.org/officeDocument/2006/relationships/hyperlink" Target="https://www.trustified.in/dark-chocolate" TargetMode="External"/><Relationship Id="rId6" Type="http://schemas.openxmlformats.org/officeDocument/2006/relationships/hyperlink" Target="https://www.trustified.in/items/breakfastcereals" TargetMode="External"/><Relationship Id="rId7" Type="http://schemas.openxmlformats.org/officeDocument/2006/relationships/hyperlink" Target="https://twtprotein.notion.site/Protein-Lab-Test-Reports-1d0fae391f3f4c8f9f398306890cedff" TargetMode="External"/><Relationship Id="rId8" Type="http://schemas.openxmlformats.org/officeDocument/2006/relationships/hyperlink" Target="https://www.unboxhealth.in/explore" TargetMode="External"/><Relationship Id="rId9" Type="http://schemas.openxmlformats.org/officeDocument/2006/relationships/hyperlink" Target="https://www.newsbytesapp.com/news/business/chips-colas-condoms-rule-shopping-carts-on-quick-commerce-platforms/story" TargetMode="External"/><Relationship Id="rId10" Type="http://schemas.openxmlformats.org/officeDocument/2006/relationships/hyperlink" Target="https://www.afaqs.com/news/mktg/zeptos-2025-data-maps-changing-shopping-habits-across-indian-cities-10954599" TargetMode="External"/><Relationship Id="rId11" Type="http://schemas.openxmlformats.org/officeDocument/2006/relationships/hyperlink" Target="https://bestmediainfo.com/insights/gold-iphones-666-roses-a-minute-what-indians-ordered-on-instamart-in-2025-might-surprise-you-10930811" TargetMode="External"/><Relationship Id="rId12" Type="http://schemas.openxmlformats.org/officeDocument/2006/relationships/hyperlink" Target="https://www.media4growth.com/showcase/campaigns/blinkit-turns-indias-shopping-data-into-year-end-ooh-humour-81597" TargetMode="External"/><Relationship Id="rId13" Type="http://schemas.openxmlformats.org/officeDocument/2006/relationships/hyperlink" Target="https://metricscart.com/insights/protein-bars-on-zepto-vs-blinkit/" TargetMode="External"/><Relationship Id="rId14" Type="http://schemas.openxmlformats.org/officeDocument/2006/relationships/hyperlink" Target="https://www.bloomberg.com/features/2025-India-instant-shopping/" TargetMode="External"/><Relationship Id="rId15" Type="http://schemas.openxmlformats.org/officeDocument/2006/relationships/hyperlink" Target="https://www.ciim.in/zepto-vs-blinkit-vs-instamart-market-share-revenue-profit-a-case-study-2024-20265/"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trustified.in/passandfail/amulgoldmilk" TargetMode="External"/><Relationship Id="rId2" Type="http://schemas.openxmlformats.org/officeDocument/2006/relationships/hyperlink" Target="https://www.trustified.in/passandfail/amulHomogenisedmilk" TargetMode="External"/><Relationship Id="rId3" Type="http://schemas.openxmlformats.org/officeDocument/2006/relationships/hyperlink" Target="https://www.trustified.in/passandfail/amultaazamilk" TargetMode="External"/><Relationship Id="rId4" Type="http://schemas.openxmlformats.org/officeDocument/2006/relationships/hyperlink" Target="https://www.trustified.in/passandfail/countrydelightmilk" TargetMode="External"/><Relationship Id="rId5" Type="http://schemas.openxmlformats.org/officeDocument/2006/relationships/hyperlink" Target="https://www.trustified.in/passandfail/motherdairymilk" TargetMode="External"/><Relationship Id="rId6" Type="http://schemas.openxmlformats.org/officeDocument/2006/relationships/hyperlink" Target="https://www.trustified.in/passandfail/mastidahipouch" TargetMode="External"/><Relationship Id="rId7" Type="http://schemas.openxmlformats.org/officeDocument/2006/relationships/hyperlink" Target="https://www.trustified.in/passandfail/mastidahicup" TargetMode="External"/><Relationship Id="rId8" Type="http://schemas.openxmlformats.org/officeDocument/2006/relationships/hyperlink" Target="https://www.trustified.in/passandfail/epigamiayoughurt50" TargetMode="External"/><Relationship Id="rId9" Type="http://schemas.openxmlformats.org/officeDocument/2006/relationships/hyperlink" Target="https://www.unboxhealth.in/explore/product/7b605075-0bb8-4064-937e-de95e33c6672" TargetMode="External"/><Relationship Id="rId10" Type="http://schemas.openxmlformats.org/officeDocument/2006/relationships/hyperlink" Target="https://www.trustified.in/passandfail/farmleymakhana" TargetMode="External"/><Relationship Id="rId11" Type="http://schemas.openxmlformats.org/officeDocument/2006/relationships/hyperlink" Target="https://www.trustified.in/passandfail/haldiramspeanuts" TargetMode="External"/><Relationship Id="rId12" Type="http://schemas.openxmlformats.org/officeDocument/2006/relationships/hyperlink" Target="https://www.unboxhealth.in/explore/product/lays-potato-chips---indias-magic-masala/c7bdd404-97eb-4470-812d-d4fc4a68c944" TargetMode="External"/><Relationship Id="rId13" Type="http://schemas.openxmlformats.org/officeDocument/2006/relationships/hyperlink" Target="https://www.unboxhealth.in/explore/product/ritebite-max-protein-cheese-jalapeno-chips/b733c200-c16b-4468-9c91-0cea00930364" TargetMode="External"/><Relationship Id="rId14" Type="http://schemas.openxmlformats.org/officeDocument/2006/relationships/hyperlink" Target="https://www.unboxhealth.in/explore/product/3dfb3950-582e-4b56-ba0b-0c2391329388" TargetMode="External"/><Relationship Id="rId15" Type="http://schemas.openxmlformats.org/officeDocument/2006/relationships/hyperlink" Target="https://www.unboxhealth.in/explore/product/superyou-multigrain-protein-chips-sour-cream-onion/4c5f0fc0-347f-40ee-9ec8-348e967804b5" TargetMode="External"/><Relationship Id="rId16" Type="http://schemas.openxmlformats.org/officeDocument/2006/relationships/hyperlink" Target="https://www.unboxhealth.in/explore/product/taali-jowar-protein-puffs-masala-mania/9f25514e-fea0-4fce-8e84-999aea95b452" TargetMode="External"/><Relationship Id="rId17" Type="http://schemas.openxmlformats.org/officeDocument/2006/relationships/hyperlink" Target="https://www.unboxhealth.in/explore/product/too-yumm-spicy-chilli-wafers-potato-chips/8c2e8764-4b6a-4370-b2bd-ce354f3f66a6" TargetMode="External"/><Relationship Id="rId18" Type="http://schemas.openxmlformats.org/officeDocument/2006/relationships/hyperlink" Target="https://www.trustified.in/passandfail/minus30icecream" TargetMode="External"/><Relationship Id="rId19" Type="http://schemas.openxmlformats.org/officeDocument/2006/relationships/hyperlink" Target="https://www.trustified.in/passandfail/notoicecream" TargetMode="External"/><Relationship Id="rId20" Type="http://schemas.openxmlformats.org/officeDocument/2006/relationships/hyperlink" Target="https://www.trustified.in/passandfail/amulbutter" TargetMode="External"/><Relationship Id="rId21" Type="http://schemas.openxmlformats.org/officeDocument/2006/relationships/hyperlink" Target="https://www.trustified.in/passandfail/amulcheesecubes" TargetMode="External"/><Relationship Id="rId22" Type="http://schemas.openxmlformats.org/officeDocument/2006/relationships/hyperlink" Target="https://www.trustified.in/passandfail/amulpaneer" TargetMode="External"/><Relationship Id="rId23" Type="http://schemas.openxmlformats.org/officeDocument/2006/relationships/hyperlink" Target="https://www.unboxhealth.in/explore/product/ceb7eace-c8ba-49e5-a2cd-0dd8d881f5df" TargetMode="External"/><Relationship Id="rId24" Type="http://schemas.openxmlformats.org/officeDocument/2006/relationships/hyperlink" Target="https://www.trustified.in/passandfail/ashirvaadghee" TargetMode="External"/><Relationship Id="rId25" Type="http://schemas.openxmlformats.org/officeDocument/2006/relationships/hyperlink" Target="https://www.trustified.in/passandfail/amulghee" TargetMode="External"/><Relationship Id="rId26" Type="http://schemas.openxmlformats.org/officeDocument/2006/relationships/hyperlink" Target="https://www.unboxhealth.in/explore/product/dc334a51-2a93-4257-be64-178a33956e2b" TargetMode="External"/><Relationship Id="rId27" Type="http://schemas.openxmlformats.org/officeDocument/2006/relationships/hyperlink" Target="https://www.unboxhealth.in/explore/product/1b38aa3a-6707-49d8-b956-5c7c581a949f" TargetMode="External"/><Relationship Id="rId28" Type="http://schemas.openxmlformats.org/officeDocument/2006/relationships/hyperlink" Target="https://www.trustified.in/passandfail/Countrydelightghee" TargetMode="External"/><Relationship Id="rId29" Type="http://schemas.openxmlformats.org/officeDocument/2006/relationships/hyperlink" Target="https://www.unboxhealth.in/explore/product/b89ecab2-2626-4946-9650-593f54970dd8" TargetMode="External"/><Relationship Id="rId30" Type="http://schemas.openxmlformats.org/officeDocument/2006/relationships/hyperlink" Target="https://www.unboxhealth.in/explore/product/36f4c341-54a9-4b14-a77e-31c9bf7ceb1d" TargetMode="External"/><Relationship Id="rId31" Type="http://schemas.openxmlformats.org/officeDocument/2006/relationships/hyperlink" Target="https://www.trustified.in/passandfail/patanjalighee" TargetMode="External"/><Relationship Id="rId32" Type="http://schemas.openxmlformats.org/officeDocument/2006/relationships/hyperlink" Target="https://www.unboxhealth.in/explore/product/f1e1a714-059f-4583-bef1-67bb8afafb00" TargetMode="External"/><Relationship Id="rId33" Type="http://schemas.openxmlformats.org/officeDocument/2006/relationships/hyperlink" Target="https://www.trustified.in/passandfail/aashirvaadatta" TargetMode="External"/><Relationship Id="rId34" Type="http://schemas.openxmlformats.org/officeDocument/2006/relationships/hyperlink" Target="https://www.trustified.in/passandfail/daawatrice" TargetMode="External"/><Relationship Id="rId35" Type="http://schemas.openxmlformats.org/officeDocument/2006/relationships/hyperlink" Target="https://www.trustified.in/passandfail/indiagatebasmatirice" TargetMode="External"/><Relationship Id="rId36" Type="http://schemas.openxmlformats.org/officeDocument/2006/relationships/hyperlink" Target="https://www.trustified.in/passandfail/tatasalt" TargetMode="External"/><Relationship Id="rId37" Type="http://schemas.openxmlformats.org/officeDocument/2006/relationships/hyperlink" Target="https://www.trustified.in/passandfail/fortunemustardoil" TargetMode="External"/><Relationship Id="rId38" Type="http://schemas.openxmlformats.org/officeDocument/2006/relationships/hyperlink" Target="https://www.trustified.in/passandfail/jivooliveoil" TargetMode="External"/><Relationship Id="rId39" Type="http://schemas.openxmlformats.org/officeDocument/2006/relationships/hyperlink" Target="https://www.unboxhealth.in/explore/product/799dab45-406f-48cf-9bde-2161b333057b" TargetMode="External"/><Relationship Id="rId40" Type="http://schemas.openxmlformats.org/officeDocument/2006/relationships/hyperlink" Target="https://www.trustified.in/passandfail/fortunesoyachunks" TargetMode="External"/><Relationship Id="rId41" Type="http://schemas.openxmlformats.org/officeDocument/2006/relationships/hyperlink" Target="https://www.trustified.in/passandfail/milldproteinflour" TargetMode="External"/><Relationship Id="rId42" Type="http://schemas.openxmlformats.org/officeDocument/2006/relationships/hyperlink" Target="https://www.trustified.in/passandfail/nutrelasoyachunks" TargetMode="External"/><Relationship Id="rId43" Type="http://schemas.openxmlformats.org/officeDocument/2006/relationships/hyperlink" Target="https://www.trustified.in/passandfail/britanniawholebread" TargetMode="External"/><Relationship Id="rId44" Type="http://schemas.openxmlformats.org/officeDocument/2006/relationships/hyperlink" Target="https://www.trustified.in/passandfail/Dmarthaldipowder" TargetMode="External"/><Relationship Id="rId45" Type="http://schemas.openxmlformats.org/officeDocument/2006/relationships/hyperlink" Target="https://www.trustified.in/passandfail/dmartredchillipowder" TargetMode="External"/><Relationship Id="rId46" Type="http://schemas.openxmlformats.org/officeDocument/2006/relationships/hyperlink" Target="https://www.trustified.in/passandfail/everestgarammasala" TargetMode="External"/><Relationship Id="rId47" Type="http://schemas.openxmlformats.org/officeDocument/2006/relationships/hyperlink" Target="https://www.trustified.in/passandfail/everestkashmirilalmirch" TargetMode="External"/><Relationship Id="rId48" Type="http://schemas.openxmlformats.org/officeDocument/2006/relationships/hyperlink" Target="https://www.trustified.in/passandfail/everestkitchenkingmasala" TargetMode="External"/><Relationship Id="rId49" Type="http://schemas.openxmlformats.org/officeDocument/2006/relationships/hyperlink" Target="https://www.trustified.in/passandfail/everestmeatmasala" TargetMode="External"/><Relationship Id="rId50" Type="http://schemas.openxmlformats.org/officeDocument/2006/relationships/hyperlink" Target="https://www.trustified.in/passandfail/magicamasala" TargetMode="External"/><Relationship Id="rId51" Type="http://schemas.openxmlformats.org/officeDocument/2006/relationships/hyperlink" Target="https://www.trustified.in/passandfail/mdhbiryanimasala" TargetMode="External"/><Relationship Id="rId52" Type="http://schemas.openxmlformats.org/officeDocument/2006/relationships/hyperlink" Target="https://www.trustified.in/passandfail/mdhchunkychatmasala" TargetMode="External"/><Relationship Id="rId53" Type="http://schemas.openxmlformats.org/officeDocument/2006/relationships/hyperlink" Target="https://www.trustified.in/passandfail/mdhdeggimirch" TargetMode="External"/><Relationship Id="rId54" Type="http://schemas.openxmlformats.org/officeDocument/2006/relationships/hyperlink" Target="https://www.trustified.in/passandfail/mdhgarammasala" TargetMode="External"/><Relationship Id="rId55" Type="http://schemas.openxmlformats.org/officeDocument/2006/relationships/hyperlink" Target="https://www.trustified.in/passandfail/mdhkitchenking" TargetMode="External"/><Relationship Id="rId56" Type="http://schemas.openxmlformats.org/officeDocument/2006/relationships/hyperlink" Target="https://www.trustified.in/passandfail/Bevzillaclassiccoffee" TargetMode="External"/><Relationship Id="rId57" Type="http://schemas.openxmlformats.org/officeDocument/2006/relationships/hyperlink" Target="https://www.trustified.in/passandfail/bevzillapremiumcoffee" TargetMode="External"/><Relationship Id="rId58" Type="http://schemas.openxmlformats.org/officeDocument/2006/relationships/hyperlink" Target="https://www.trustified.in/passandfail/taazatea" TargetMode="External"/><Relationship Id="rId59" Type="http://schemas.openxmlformats.org/officeDocument/2006/relationships/hyperlink" Target="https://www.trustified.in/passandfail/nescafeclassic" TargetMode="External"/><Relationship Id="rId60" Type="http://schemas.openxmlformats.org/officeDocument/2006/relationships/hyperlink" Target="https://www.trustified.in/passandfail/vsmanicoffee" TargetMode="External"/><Relationship Id="rId61" Type="http://schemas.openxmlformats.org/officeDocument/2006/relationships/hyperlink" Target="https://www.unboxhealth.in/explore/product/ca37d7b1-d997-4651-aa9e-41d987353428" TargetMode="External"/><Relationship Id="rId62" Type="http://schemas.openxmlformats.org/officeDocument/2006/relationships/hyperlink" Target="https://www.unboxhealth.in/explore/product/fe1a8b27-7ae2-43ad-ac04-5e4a3052bb80" TargetMode="External"/><Relationship Id="rId63" Type="http://schemas.openxmlformats.org/officeDocument/2006/relationships/hyperlink" Target="https://www.unboxhealth.in/explore/product/d9405d82-09d5-418c-ae23-28eb21e85dc9" TargetMode="External"/><Relationship Id="rId64" Type="http://schemas.openxmlformats.org/officeDocument/2006/relationships/hyperlink" Target="https://www.trustified.in/passandfail/kellogscornflakes" TargetMode="External"/><Relationship Id="rId65" Type="http://schemas.openxmlformats.org/officeDocument/2006/relationships/hyperlink" Target="https://www.unboxhealth.in/explore/product/c115cb3c-20eb-4533-9ce6-bf9044fb06ce" TargetMode="External"/><Relationship Id="rId66" Type="http://schemas.openxmlformats.org/officeDocument/2006/relationships/hyperlink" Target="https://www.trustified.in/passandfail/kelloggsmuesli" TargetMode="External"/><Relationship Id="rId67" Type="http://schemas.openxmlformats.org/officeDocument/2006/relationships/hyperlink" Target="https://www.unboxhealth.in/explore/product/quaker-oats-rolled-oats-natural-wholegrain/632b7071-673c-48bf-8211-1aa24abdef14" TargetMode="External"/><Relationship Id="rId68" Type="http://schemas.openxmlformats.org/officeDocument/2006/relationships/hyperlink" Target="https://www.trustified.in/passandfail/saffolaoats" TargetMode="External"/><Relationship Id="rId69" Type="http://schemas.openxmlformats.org/officeDocument/2006/relationships/hyperlink" Target="https://www.unboxhealth.in/explore/product/the-whole-truth-breakfast-muesli-5-grain-muesli/13825ea3-3a61-4b29-b342-5e88d3356f3d" TargetMode="External"/><Relationship Id="rId70" Type="http://schemas.openxmlformats.org/officeDocument/2006/relationships/hyperlink" Target="https://www.trustified.in/passandfail/kissanketchup" TargetMode="External"/><Relationship Id="rId71" Type="http://schemas.openxmlformats.org/officeDocument/2006/relationships/hyperlink" Target="https://www.unboxhealth.in/explore/product/1e4f64a1-cbb0-4427-92fb-06d7100464d5" TargetMode="External"/><Relationship Id="rId72" Type="http://schemas.openxmlformats.org/officeDocument/2006/relationships/hyperlink" Target="https://www.unboxhealth.in/explore/product/9e2b5bcc-f0ce-4d77-ae17-8b989eb856fd" TargetMode="External"/><Relationship Id="rId73" Type="http://schemas.openxmlformats.org/officeDocument/2006/relationships/hyperlink" Target="https://www.unboxhealth.in/explore/product/39422998-b412-452d-b447-f9da2ff708f9" TargetMode="External"/><Relationship Id="rId74" Type="http://schemas.openxmlformats.org/officeDocument/2006/relationships/hyperlink" Target="https://www.unboxhealth.in/explore/product/open-secret-cookies-choco-almond-nutty/0d233050-9959-4d13-8d19-56b1c4ba47bd" TargetMode="External"/><Relationship Id="rId75" Type="http://schemas.openxmlformats.org/officeDocument/2006/relationships/hyperlink" Target="https://www.unboxhealth.in/explore/product/a218aef7-1a09-4c66-8b9d-7cee7245194b" TargetMode="External"/><Relationship Id="rId76" Type="http://schemas.openxmlformats.org/officeDocument/2006/relationships/hyperlink" Target="https://www.unboxhealth.in/explore/product/sunfeast-farmlite-oats-almonds-cookies/e81baa4d-3ae3-4558-8ae9-7326c31949c3" TargetMode="External"/><Relationship Id="rId77" Type="http://schemas.openxmlformats.org/officeDocument/2006/relationships/hyperlink" Target="https://www.unboxhealth.in/explore/product/603aea76-2ca9-4f1b-88b8-77283dc29541" TargetMode="External"/><Relationship Id="rId78" Type="http://schemas.openxmlformats.org/officeDocument/2006/relationships/hyperlink" Target="https://www.unboxhealth.in/explore/product/3d5626fa-e03d-4ff0-979d-1b79addad9c0" TargetMode="External"/><Relationship Id="rId79" Type="http://schemas.openxmlformats.org/officeDocument/2006/relationships/hyperlink" Target="https://www.unboxhealth.in/explore/category-list/energy-bars/293d1656-8d99-4774-9d36-b77008a1778f" TargetMode="External"/><Relationship Id="rId80" Type="http://schemas.openxmlformats.org/officeDocument/2006/relationships/hyperlink" Target="https://www.unboxhealth.in/explore/category-list/energy-bars/293d1656-8d99-4774-9d36-b77008a1778f" TargetMode="External"/><Relationship Id="rId81" Type="http://schemas.openxmlformats.org/officeDocument/2006/relationships/hyperlink" Target="https://www.unboxhealth.in/explore/category-list/energy-bars/293d1656-8d99-4774-9d36-b77008a1778f" TargetMode="External"/><Relationship Id="rId82" Type="http://schemas.openxmlformats.org/officeDocument/2006/relationships/hyperlink" Target="https://www.trustified.in/passandfail/amul75chocolate" TargetMode="External"/><Relationship Id="rId83" Type="http://schemas.openxmlformats.org/officeDocument/2006/relationships/hyperlink" Target="https://www.trustified.in/passandfail/amul90chocolate" TargetMode="External"/><Relationship Id="rId84" Type="http://schemas.openxmlformats.org/officeDocument/2006/relationships/hyperlink" Target="https://www.trustified.in/passandfail/amul55chocolate" TargetMode="External"/><Relationship Id="rId85" Type="http://schemas.openxmlformats.org/officeDocument/2006/relationships/hyperlink" Target="https://www.unboxhealth.in/explore/product/664f9b20-1313-496e-8c13-2d0d772ec9c2" TargetMode="External"/><Relationship Id="rId86" Type="http://schemas.openxmlformats.org/officeDocument/2006/relationships/hyperlink" Target="https://www.trustified.in/passandfail/cadburybournville50" TargetMode="External"/><Relationship Id="rId87" Type="http://schemas.openxmlformats.org/officeDocument/2006/relationships/hyperlink" Target="https://www.trustified.in/passandfail/cadburybournville70" TargetMode="External"/><Relationship Id="rId88" Type="http://schemas.openxmlformats.org/officeDocument/2006/relationships/hyperlink" Target="https://www.trustified.in/passandfail/Belgianchocolate" TargetMode="External"/><Relationship Id="rId89" Type="http://schemas.openxmlformats.org/officeDocument/2006/relationships/hyperlink" Target="https://www.trustified.in/passandfail/gozerochocobar" TargetMode="External"/><Relationship Id="rId90" Type="http://schemas.openxmlformats.org/officeDocument/2006/relationships/hyperlink" Target="https://www.trustified.in/passandfail/Hersheyscocoapowder" TargetMode="External"/><Relationship Id="rId91" Type="http://schemas.openxmlformats.org/officeDocument/2006/relationships/hyperlink" Target="https://www.trustified.in/passandfail/lindtchocolate70" TargetMode="External"/><Relationship Id="rId92" Type="http://schemas.openxmlformats.org/officeDocument/2006/relationships/hyperlink" Target="https://www.trustified.in/passandfail/lindtchocolate85" TargetMode="External"/><Relationship Id="rId93" Type="http://schemas.openxmlformats.org/officeDocument/2006/relationships/hyperlink" Target="https://www.unboxhealth.in/explore/product/e4bf440f-f8a7-4e51-b151-ff0fd467529d" TargetMode="External"/><Relationship Id="rId94" Type="http://schemas.openxmlformats.org/officeDocument/2006/relationships/hyperlink" Target="https://www.unboxhealth.in/explore/product/6987bada-26bc-47e8-9504-662dc3ac50ef" TargetMode="External"/><Relationship Id="rId95" Type="http://schemas.openxmlformats.org/officeDocument/2006/relationships/hyperlink" Target="https://www.trustified.in/passandfail/liciouschicken" TargetMode="External"/><Relationship Id="rId96" Type="http://schemas.openxmlformats.org/officeDocument/2006/relationships/hyperlink" Target="https://www.trustified.in/passandfail/alpinonaturalpeanutbutter" TargetMode="External"/><Relationship Id="rId97" Type="http://schemas.openxmlformats.org/officeDocument/2006/relationships/hyperlink" Target="https://www.unboxhealth.in/explore/product/alpino-natural-peanut-butter-crunch/663e8046-4297-41d4-8364-85784170e3eb" TargetMode="External"/><Relationship Id="rId98" Type="http://schemas.openxmlformats.org/officeDocument/2006/relationships/hyperlink" Target="https://www.unboxhealth.in/explore/product/as-it-is-nutrition-atom-high-protein-peanut-butter-i-crunchy-dark-chocolate/7b5e4468-4f38-46f9-8a4a-29c0530dc980" TargetMode="External"/><Relationship Id="rId99" Type="http://schemas.openxmlformats.org/officeDocument/2006/relationships/hyperlink" Target="https://www.trustified.in/passandfail/disanopeanutbutter" TargetMode="External"/><Relationship Id="rId100" Type="http://schemas.openxmlformats.org/officeDocument/2006/relationships/hyperlink" Target="https://www.unboxhealth.in/explore/product/disano-peanut-butter-crunchy/2dc3005f-c84a-405e-be66-41af9f8b2384" TargetMode="External"/><Relationship Id="rId101" Type="http://schemas.openxmlformats.org/officeDocument/2006/relationships/hyperlink" Target="https://www.trustified.in/passandfail/funfoodspeanutbutter" TargetMode="External"/><Relationship Id="rId102" Type="http://schemas.openxmlformats.org/officeDocument/2006/relationships/hyperlink" Target="https://www.unboxhealth.in/explore/product/happilo-peanut-butter-crunchy/e7c84c5b-7d1f-4fd4-8804-7f1d22309434" TargetMode="External"/><Relationship Id="rId103" Type="http://schemas.openxmlformats.org/officeDocument/2006/relationships/hyperlink" Target="https://www.unboxhealth.in/explore/product/muscleblaze-protein-peanut-butter-creamy---dark-chocolate/85a5d325-3a92-4adf-9d7e-312f20f3d633" TargetMode="External"/><Relationship Id="rId104" Type="http://schemas.openxmlformats.org/officeDocument/2006/relationships/hyperlink" Target="https://www.unboxhealth.in/explore/product/myfitness-peanut-butter-smooth---chocolate/871b47fd-5a03-4aa8-a5dd-48076d623915" TargetMode="External"/><Relationship Id="rId105" Type="http://schemas.openxmlformats.org/officeDocument/2006/relationships/hyperlink" Target="https://www.unboxhealth.in/explore/product/pintola-all-natural-peanut-butter-crunchy/17e27466-bfd7-4200-99f3-e09d75c5d2c3" TargetMode="External"/><Relationship Id="rId106" Type="http://schemas.openxmlformats.org/officeDocument/2006/relationships/hyperlink" Target="https://www.trustified.in/passandfail/pintolapeanutbutter" TargetMode="External"/><Relationship Id="rId107" Type="http://schemas.openxmlformats.org/officeDocument/2006/relationships/hyperlink" Target="https://www.trustified.in/passandfail/sundroppeanutbutter" TargetMode="External"/><Relationship Id="rId108" Type="http://schemas.openxmlformats.org/officeDocument/2006/relationships/hyperlink" Target="https://www.unboxhealth.in/explore/product/sundrop-peanut-butter-creamy/67ef698f-d862-46c9-8d11-bcf47af23f65" TargetMode="External"/><Relationship Id="rId109" Type="http://schemas.openxmlformats.org/officeDocument/2006/relationships/hyperlink" Target="https://www.trustified.in/passandfail/thebutternutcopeanut" TargetMode="External"/><Relationship Id="rId110" Type="http://schemas.openxmlformats.org/officeDocument/2006/relationships/hyperlink" Target="https://www.unboxhealth.in/explore/product/the-butternut-co-peanut-butter-crunchy/f4afe028-30fa-444e-8778-ba39dbce8f1d" TargetMode="External"/><Relationship Id="rId111" Type="http://schemas.openxmlformats.org/officeDocument/2006/relationships/hyperlink" Target="https://www.unboxhealth.in/explore/product/the-whole-truth-peanut-butter-crunchy---dark-chocolate/37e9e113-3f50-4ec7-9c7a-7d52ab6ccdc8" TargetMode="External"/><Relationship Id="rId112" Type="http://schemas.openxmlformats.org/officeDocument/2006/relationships/hyperlink" Target="https://www.unboxhealth.in/explore/product/yogabar-peanut-butter-creamy---dark-chocolate/e1be62d8-224e-42cf-b13e-99a7b9d73f36" TargetMode="External"/><Relationship Id="rId113" Type="http://schemas.openxmlformats.org/officeDocument/2006/relationships/hyperlink" Target="https://www.trustified.in/nmr-reports/apishoney" TargetMode="External"/><Relationship Id="rId114" Type="http://schemas.openxmlformats.org/officeDocument/2006/relationships/hyperlink" Target="https://www.trustified.in/nmr-reports/patanjali" TargetMode="External"/><Relationship Id="rId115" Type="http://schemas.openxmlformats.org/officeDocument/2006/relationships/hyperlink" Target="https://www.trustified.in/nmr-reports/saffolahoney" TargetMode="External"/><Relationship Id="rId116" Type="http://schemas.openxmlformats.org/officeDocument/2006/relationships/hyperlink" Target="https://www.trustified.in/nmr-reports/saffola" TargetMode="External"/><Relationship Id="rId117" Type="http://schemas.openxmlformats.org/officeDocument/2006/relationships/hyperlink" Target="https://www.trustified.in/nmr-reports/vedakahoney" TargetMode="External"/><Relationship Id="rId118" Type="http://schemas.openxmlformats.org/officeDocument/2006/relationships/hyperlink" Target="https://www.trustified.in/nmr-reports/zandu" TargetMode="External"/><Relationship Id="rId119" Type="http://schemas.openxmlformats.org/officeDocument/2006/relationships/hyperlink" Target="https://www.unboxhealth.in/explore/product/42b52d7c-2afc-4af6-bb4c-7721969efafd" TargetMode="External"/><Relationship Id="rId120" Type="http://schemas.openxmlformats.org/officeDocument/2006/relationships/hyperlink" Target="https://www.unboxhealth.in/explore/product/a9ef5cfb-a903-40ab-9f33-fa2763b5320a" TargetMode="External"/><Relationship Id="rId121" Type="http://schemas.openxmlformats.org/officeDocument/2006/relationships/hyperlink" Target="https://www.unboxhealth.in/explore/product/e84c19ab-7d5e-4830-81a3-69b687edca4f" TargetMode="External"/><Relationship Id="rId122" Type="http://schemas.openxmlformats.org/officeDocument/2006/relationships/hyperlink" Target="https://www.trustified.in/passandfail/ritebite" TargetMode="External"/><Relationship Id="rId123" Type="http://schemas.openxmlformats.org/officeDocument/2006/relationships/hyperlink" Target="https://www.unboxhealth.in/explore/product/36f257db-5019-4eb1-a3e7-d5c240d8e091" TargetMode="External"/><Relationship Id="rId124" Type="http://schemas.openxmlformats.org/officeDocument/2006/relationships/hyperlink" Target="https://www.unboxhealth.in/explore/product/superyou-mega-protein-wafer-nutty-chocolate/4c3ca09e-57c8-4b1d-9fa4-e8230ab3bd9e" TargetMode="External"/><Relationship Id="rId125" Type="http://schemas.openxmlformats.org/officeDocument/2006/relationships/hyperlink" Target="https://www.trustified.in/passandfail/the-whole-truth-protein-bar-main" TargetMode="External"/><Relationship Id="rId126" Type="http://schemas.openxmlformats.org/officeDocument/2006/relationships/hyperlink" Target="https://www.unboxhealth.in/explore/product/43aca21b-4895-4239-8312-a4f5c0fcccb5" TargetMode="External"/><Relationship Id="rId127" Type="http://schemas.openxmlformats.org/officeDocument/2006/relationships/hyperlink" Target="https://www.unboxhealth.in/explore/product/the-whole-truth-protein-bar-double-cocoa/e2d0aacc-c233-4d3b-b5e0-c98e8186c530" TargetMode="External"/><Relationship Id="rId128" Type="http://schemas.openxmlformats.org/officeDocument/2006/relationships/hyperlink" Target="https://www.unboxhealth.in/explore/product/45ff54a3-efa3-4b87-8c72-7b404b005ee9" TargetMode="External"/><Relationship Id="rId129" Type="http://schemas.openxmlformats.org/officeDocument/2006/relationships/hyperlink" Target="https://www.trustified.in/passandfail/Americanzmusclesprotein" TargetMode="External"/><Relationship Id="rId130" Type="http://schemas.openxmlformats.org/officeDocument/2006/relationships/hyperlink" Target="https://www.trustified.in/passandfail/atompowerwheyexpired" TargetMode="External"/><Relationship Id="rId131" Type="http://schemas.openxmlformats.org/officeDocument/2006/relationships/hyperlink" Target="https://www.trustified.in/passandfail/asitis--whey-isolate" TargetMode="External"/><Relationship Id="rId132" Type="http://schemas.openxmlformats.org/officeDocument/2006/relationships/hyperlink" Target="https://www.trustified.in/passandfail/avvatarperformance100" TargetMode="External"/><Relationship Id="rId133" Type="http://schemas.openxmlformats.org/officeDocument/2006/relationships/hyperlink" Target="https://www.trustified.in/passandfail/avvatarfuelwhey" TargetMode="External"/><Relationship Id="rId134" Type="http://schemas.openxmlformats.org/officeDocument/2006/relationships/hyperlink" Target="https://www.trustified.in/passandfail/blackbeastwheyprotein" TargetMode="External"/><Relationship Id="rId135" Type="http://schemas.openxmlformats.org/officeDocument/2006/relationships/hyperlink" Target="https://www.trustified.in/passandfail/cutlernutritionwhey" TargetMode="External"/><Relationship Id="rId136" Type="http://schemas.openxmlformats.org/officeDocument/2006/relationships/hyperlink" Target="https://www.trustified.in/passandfail/esnleanwhey" TargetMode="External"/><Relationship Id="rId137" Type="http://schemas.openxmlformats.org/officeDocument/2006/relationships/hyperlink" Target="https://www.trustified.in/passandfail/exaltprioritywheyprotein" TargetMode="External"/><Relationship Id="rId138" Type="http://schemas.openxmlformats.org/officeDocument/2006/relationships/hyperlink" Target="https://www.trustified.in/passandfail/explosivewheyexpired" TargetMode="External"/><Relationship Id="rId139" Type="http://schemas.openxmlformats.org/officeDocument/2006/relationships/hyperlink" Target="https://www.trustified.in/passandfail/foodstrongwheyexpired" TargetMode="External"/><Relationship Id="rId140" Type="http://schemas.openxmlformats.org/officeDocument/2006/relationships/hyperlink" Target="https://www.trustified.in/passandfail/fuelledwheyprotein" TargetMode="External"/><Relationship Id="rId141" Type="http://schemas.openxmlformats.org/officeDocument/2006/relationships/hyperlink" Target="https://www.trustified.in/passandfail/fuelone-main" TargetMode="External"/><Relationship Id="rId142" Type="http://schemas.openxmlformats.org/officeDocument/2006/relationships/hyperlink" Target="https://www.trustified.in/passandfail/gentlebeastwheyprotein" TargetMode="External"/><Relationship Id="rId143" Type="http://schemas.openxmlformats.org/officeDocument/2006/relationships/hyperlink" Target="https://www.trustified.in/passandfail/healthfarmisopro" TargetMode="External"/><Relationship Id="rId144" Type="http://schemas.openxmlformats.org/officeDocument/2006/relationships/hyperlink" Target="https://www.trustified.in/passandfail/Janaushadhiwhey" TargetMode="External"/><Relationship Id="rId145" Type="http://schemas.openxmlformats.org/officeDocument/2006/relationships/hyperlink" Target="https://www.trustified.in/passandfail/maxener-wellness-expired" TargetMode="External"/><Relationship Id="rId146" Type="http://schemas.openxmlformats.org/officeDocument/2006/relationships/hyperlink" Target="https://www.trustified.in/passandfail/muscleclubwhey" TargetMode="External"/><Relationship Id="rId147" Type="http://schemas.openxmlformats.org/officeDocument/2006/relationships/hyperlink" Target="https://www.trustified.in/passandfail/muscledominator" TargetMode="External"/><Relationship Id="rId148" Type="http://schemas.openxmlformats.org/officeDocument/2006/relationships/hyperlink" Target="https://www.trustified.in/passandfail/musclegearswhey" TargetMode="External"/><Relationship Id="rId149" Type="http://schemas.openxmlformats.org/officeDocument/2006/relationships/hyperlink" Target="https://www.trustified.in/passandfail/biozymegoldwhey100" TargetMode="External"/><Relationship Id="rId150" Type="http://schemas.openxmlformats.org/officeDocument/2006/relationships/hyperlink" Target="https://www.trustified.in/passandfail/muscleblaze-iso-zero" TargetMode="External"/><Relationship Id="rId151" Type="http://schemas.openxmlformats.org/officeDocument/2006/relationships/hyperlink" Target="https://www.trustified.in/passandfail/biozyme-performance-whey" TargetMode="External"/><Relationship Id="rId152" Type="http://schemas.openxmlformats.org/officeDocument/2006/relationships/hyperlink" Target="https://www.trustified.in/passandfail/biozymewheyPR" TargetMode="External"/><Relationship Id="rId153" Type="http://schemas.openxmlformats.org/officeDocument/2006/relationships/hyperlink" Target="https://www.trustified.in/passandfail/muscleblaze-whey-gold-main" TargetMode="External"/><Relationship Id="rId154" Type="http://schemas.openxmlformats.org/officeDocument/2006/relationships/hyperlink" Target="https://www.trustified.in/passandfail/musclenectarisolatetest3" TargetMode="External"/><Relationship Id="rId155" Type="http://schemas.openxmlformats.org/officeDocument/2006/relationships/hyperlink" Target="https://www.trustified.in/passandfail/nakproimpactwhey" TargetMode="External"/><Relationship Id="rId156" Type="http://schemas.openxmlformats.org/officeDocument/2006/relationships/hyperlink" Target="https://www.trustified.in/passandfail/maxwheyprotein" TargetMode="External"/><Relationship Id="rId157" Type="http://schemas.openxmlformats.org/officeDocument/2006/relationships/hyperlink" Target="https://www.trustified.in/passandfail/naturalteinisoboost" TargetMode="External"/><Relationship Id="rId158" Type="http://schemas.openxmlformats.org/officeDocument/2006/relationships/hyperlink" Target="https://www.trustified.in/passandfail/nutrabay" TargetMode="External"/><Relationship Id="rId159" Type="http://schemas.openxmlformats.org/officeDocument/2006/relationships/hyperlink" Target="https://www.trustified.in/passandfail/nutrovaisolateblendexpired" TargetMode="External"/><Relationship Id="rId160" Type="http://schemas.openxmlformats.org/officeDocument/2006/relationships/hyperlink" Target="https://www.trustified.in/passandfail/onesciencenutrition" TargetMode="External"/><Relationship Id="rId161" Type="http://schemas.openxmlformats.org/officeDocument/2006/relationships/hyperlink" Target="https://www.trustified.in/passandfail/ownwheyprotein" TargetMode="External"/><Relationship Id="rId162" Type="http://schemas.openxmlformats.org/officeDocument/2006/relationships/hyperlink" Target="https://www.trustified.in/passandfail/osoaaimpactwheyexpired" TargetMode="External"/><Relationship Id="rId163" Type="http://schemas.openxmlformats.org/officeDocument/2006/relationships/hyperlink" Target="https://www.trustified.in/passandfail/runmusclewhey-expired" TargetMode="External"/><Relationship Id="rId164" Type="http://schemas.openxmlformats.org/officeDocument/2006/relationships/hyperlink" Target="https://www.trustified.in/passandfail/ripped-up-nutrition-expired" TargetMode="External"/><Relationship Id="rId165" Type="http://schemas.openxmlformats.org/officeDocument/2006/relationships/hyperlink" Target="https://www.trustified.in/passandfail/Ronniecoleman" TargetMode="External"/><Relationship Id="rId166" Type="http://schemas.openxmlformats.org/officeDocument/2006/relationships/hyperlink" Target="https://www.trustified.in/passandfail/tata1mgcleanwhey" TargetMode="External"/><Relationship Id="rId167" Type="http://schemas.openxmlformats.org/officeDocument/2006/relationships/hyperlink" Target="https://www.trustified.in/passandfail/the-whole-truth-concentrate" TargetMode="External"/><Relationship Id="rId168" Type="http://schemas.openxmlformats.org/officeDocument/2006/relationships/hyperlink" Target="https://www.trustified.in/passandfail/twtrawwheyisolate" TargetMode="External"/><Relationship Id="rId169" Type="http://schemas.openxmlformats.org/officeDocument/2006/relationships/hyperlink" Target="https://www.unboxhealth.in/explore" TargetMode="External"/><Relationship Id="rId170" Type="http://schemas.openxmlformats.org/officeDocument/2006/relationships/hyperlink" Target="https://drive.google.com/file/d/1FA1ybRVtSvEBnxzhWx-4xROwvXd_K9Yf/view?usp=drivesdk" TargetMode="External"/><Relationship Id="rId171" Type="http://schemas.openxmlformats.org/officeDocument/2006/relationships/hyperlink" Target="https://drive.google.com/file/d/1ulsQZl4m-qHU6JZHNEfW6WN5ywskjxdy/view?usp=drivesdk" TargetMode="External"/><Relationship Id="rId172" Type="http://schemas.openxmlformats.org/officeDocument/2006/relationships/hyperlink" Target="https://drive.google.com/file/d/1WbE_p-vUgY4iL-zmS1F5Y-1bjbnf7AF2/view?usp=drivesdk" TargetMode="External"/><Relationship Id="rId173" Type="http://schemas.openxmlformats.org/officeDocument/2006/relationships/hyperlink" Target="https://drive.google.com/file/d/1xK-VxzsZWNiQZYeBcbcBoeQjZCEa_MRe/view?usp=drivesdk" TargetMode="External"/><Relationship Id="rId174" Type="http://schemas.openxmlformats.org/officeDocument/2006/relationships/hyperlink" Target="https://drive.google.com/file/d/1pFTIqUMK3KqON3iqgkNj6Icf-Jnm8CzS/view?usp=drivesdk" TargetMode="External"/><Relationship Id="rId175" Type="http://schemas.openxmlformats.org/officeDocument/2006/relationships/hyperlink" Target="https://www.trustified.in/passandfail/totalnutrition" TargetMode="External"/><Relationship Id="rId176" Type="http://schemas.openxmlformats.org/officeDocument/2006/relationships/hyperlink" Target="https://www.trustified.in/passandfail/trikutwheyprotein" TargetMode="External"/><Relationship Id="rId177" Type="http://schemas.openxmlformats.org/officeDocument/2006/relationships/hyperlink" Target="https://www.trustified.in/passandfail/truebasiccleanisolate" TargetMode="External"/><Relationship Id="rId178" Type="http://schemas.openxmlformats.org/officeDocument/2006/relationships/hyperlink" Target="https://www.trustified.in/passandfail/cleanwheyprotein" TargetMode="External"/><Relationship Id="rId179" Type="http://schemas.openxmlformats.org/officeDocument/2006/relationships/hyperlink" Target="https://www.trustified.in/passandfail/trunativwheyblendpro" TargetMode="External"/><Relationship Id="rId180" Type="http://schemas.openxmlformats.org/officeDocument/2006/relationships/hyperlink" Target="https://www.trustified.in/passandfail/xlr8performancewhey-expired" TargetMode="External"/><Relationship Id="rId181" Type="http://schemas.openxmlformats.org/officeDocument/2006/relationships/hyperlink" Target="https://www.trustified.in/passandfail/Xlr8wheyproteintest" TargetMode="External"/><Relationship Id="rId182" Type="http://schemas.openxmlformats.org/officeDocument/2006/relationships/hyperlink" Target="https://www.trustified.in/passandfail/yogabarcleanwhey" TargetMode="External"/><Relationship Id="rId183" Type="http://schemas.openxmlformats.org/officeDocument/2006/relationships/hyperlink" Target="https://www.trustified.in/passandfail/alpinopeanutprotein1" TargetMode="External"/><Relationship Id="rId184" Type="http://schemas.openxmlformats.org/officeDocument/2006/relationships/hyperlink" Target="https://www.trustified.in/passandfail/alpinopeanutprotein" TargetMode="External"/><Relationship Id="rId185" Type="http://schemas.openxmlformats.org/officeDocument/2006/relationships/hyperlink" Target="https://www.trustified.in/passandfail/asitissoyisolateprotein" TargetMode="External"/><Relationship Id="rId186" Type="http://schemas.openxmlformats.org/officeDocument/2006/relationships/hyperlink" Target="https://www.trustified.in/passandfail/milleplantprotein25g" TargetMode="External"/><Relationship Id="rId187" Type="http://schemas.openxmlformats.org/officeDocument/2006/relationships/hyperlink" Target="https://www.trustified.in/passandfail/milleplantprotein31g" TargetMode="External"/><Relationship Id="rId188" Type="http://schemas.openxmlformats.org/officeDocument/2006/relationships/hyperlink" Target="https://www.trustified.in/passandfail/nakproplantprotein" TargetMode="External"/><Relationship Id="rId189" Type="http://schemas.openxmlformats.org/officeDocument/2006/relationships/hyperlink" Target="https://www.trustified.in/passandfail/naturaltein-plant-protein" TargetMode="External"/><Relationship Id="rId190" Type="http://schemas.openxmlformats.org/officeDocument/2006/relationships/hyperlink" Target="https://www.trustified.in/passandfail/naturalteinyesprotein" TargetMode="External"/><Relationship Id="rId191" Type="http://schemas.openxmlformats.org/officeDocument/2006/relationships/hyperlink" Target="https://www.trustified.in/passandfail/nutrabaypeaprotein" TargetMode="External"/><Relationship Id="rId192" Type="http://schemas.openxmlformats.org/officeDocument/2006/relationships/hyperlink" Target="https://www.trustified.in/passandfail/nutrabaypeaprotein" TargetMode="External"/><Relationship Id="rId193" Type="http://schemas.openxmlformats.org/officeDocument/2006/relationships/hyperlink" Target="https://www.trustified.in/passandfail/nutrabayyeastprotein" TargetMode="External"/><Relationship Id="rId194" Type="http://schemas.openxmlformats.org/officeDocument/2006/relationships/hyperlink" Target="https://www.trustified.in/passandfail/nutraboxsoyprotein" TargetMode="External"/><Relationship Id="rId195" Type="http://schemas.openxmlformats.org/officeDocument/2006/relationships/hyperlink" Target="https://www.trustified.in/passandfail/nutraboxveganprotein" TargetMode="External"/><Relationship Id="rId196" Type="http://schemas.openxmlformats.org/officeDocument/2006/relationships/hyperlink" Target="https://www.trustified.in/passandfail/superyouyeastprotein" TargetMode="External"/><Relationship Id="rId197" Type="http://schemas.openxmlformats.org/officeDocument/2006/relationships/hyperlink" Target="https://drive.google.com/file/d/1Uo2VI3xbUWcSMs4FwDXX3Au5nYjKbmZO/view?usp=drivesdk" TargetMode="External"/><Relationship Id="rId198" Type="http://schemas.openxmlformats.org/officeDocument/2006/relationships/hyperlink" Target="https://www.trustified.in/passandfail/truebasicsplantprotein" TargetMode="External"/><Relationship Id="rId199" Type="http://schemas.openxmlformats.org/officeDocument/2006/relationships/hyperlink" Target="https://www.trustified.in/passandfail/mbxtremepreworkout" TargetMode="External"/><Relationship Id="rId200" Type="http://schemas.openxmlformats.org/officeDocument/2006/relationships/hyperlink" Target="https://www.trustified.in/passandfail/muscleblazepreworkout" TargetMode="External"/><Relationship Id="rId201" Type="http://schemas.openxmlformats.org/officeDocument/2006/relationships/hyperlink" Target="https://www.trustified.in/passandfail/naturalteinpure07" TargetMode="External"/><Relationship Id="rId202" Type="http://schemas.openxmlformats.org/officeDocument/2006/relationships/hyperlink" Target="https://www.trustified.in/passandfail/asitis-atom-creatine" TargetMode="External"/><Relationship Id="rId203" Type="http://schemas.openxmlformats.org/officeDocument/2006/relationships/hyperlink" Target="https://www.trustified.in/passandfail/creasurecreatinemonohydrate" TargetMode="External"/><Relationship Id="rId204" Type="http://schemas.openxmlformats.org/officeDocument/2006/relationships/hyperlink" Target="https://www.trustified.in/passandfail/asitisonecreatine" TargetMode="External"/><Relationship Id="rId205" Type="http://schemas.openxmlformats.org/officeDocument/2006/relationships/hyperlink" Target="https://www.trustified.in/passandfail/avvatarcreatinemonohydrate" TargetMode="External"/><Relationship Id="rId206" Type="http://schemas.openxmlformats.org/officeDocument/2006/relationships/hyperlink" Target="https://www.trustified.in/passandfail/blackbeastcreatinemonohydrate" TargetMode="External"/><Relationship Id="rId207" Type="http://schemas.openxmlformats.org/officeDocument/2006/relationships/hyperlink" Target="https://www.trustified.in/passandfail/manmattersgummies" TargetMode="External"/><Relationship Id="rId208" Type="http://schemas.openxmlformats.org/officeDocument/2006/relationships/hyperlink" Target="https://www.trustified.in/passandfail/musclenectarcreatinemonohydrate" TargetMode="External"/><Relationship Id="rId209" Type="http://schemas.openxmlformats.org/officeDocument/2006/relationships/hyperlink" Target="https://www.trustified.in/passandfail/naturaltein-crea-boost" TargetMode="External"/><Relationship Id="rId210" Type="http://schemas.openxmlformats.org/officeDocument/2006/relationships/hyperlink" Target="https://www.trustified.in/passandfail/naturalteincreamag" TargetMode="External"/><Relationship Id="rId211" Type="http://schemas.openxmlformats.org/officeDocument/2006/relationships/hyperlink" Target="https://www.trustified.in/passandfail/alphacreatine" TargetMode="External"/><Relationship Id="rId212" Type="http://schemas.openxmlformats.org/officeDocument/2006/relationships/hyperlink" Target="https://www.trustified.in/passandfail/smashcreatine" TargetMode="External"/><Relationship Id="rId213" Type="http://schemas.openxmlformats.org/officeDocument/2006/relationships/hyperlink" Target="https://www.trustified.in/passandfail/superyoucreatine" TargetMode="External"/><Relationship Id="rId214" Type="http://schemas.openxmlformats.org/officeDocument/2006/relationships/hyperlink" Target="https://www.trustified.in/passandfail/tata1mgcreatine" TargetMode="External"/><Relationship Id="rId215" Type="http://schemas.openxmlformats.org/officeDocument/2006/relationships/hyperlink" Target="https://www.trustified.in/passandfail/alkemuprised3capsule" TargetMode="External"/><Relationship Id="rId216" Type="http://schemas.openxmlformats.org/officeDocument/2006/relationships/hyperlink" Target="https://www.trustified.in/passandfail/Becadexaminemultivitamins" TargetMode="External"/><Relationship Id="rId217" Type="http://schemas.openxmlformats.org/officeDocument/2006/relationships/hyperlink" Target="https://www.trustified.in/passandfail/bluvitd3sachets" TargetMode="External"/><Relationship Id="rId218" Type="http://schemas.openxmlformats.org/officeDocument/2006/relationships/hyperlink" Target="https://www.trustified.in/passandfail/centrummenmultivitamin" TargetMode="External"/><Relationship Id="rId219" Type="http://schemas.openxmlformats.org/officeDocument/2006/relationships/hyperlink" Target="https://www.trustified.in/passandfail/hkvitalsmagnesium" TargetMode="External"/><Relationship Id="rId220" Type="http://schemas.openxmlformats.org/officeDocument/2006/relationships/hyperlink" Target="https://www.trustified.in/passandfail/muscleblaze-multivitamintest" TargetMode="External"/><Relationship Id="rId221" Type="http://schemas.openxmlformats.org/officeDocument/2006/relationships/hyperlink" Target="https://www.trustified.in/passandfail/muscleblazemultivitamins" TargetMode="External"/><Relationship Id="rId222" Type="http://schemas.openxmlformats.org/officeDocument/2006/relationships/hyperlink" Target="https://www.trustified.in/passandfail/naturalteinmagnesiumglycinate" TargetMode="External"/><Relationship Id="rId223" Type="http://schemas.openxmlformats.org/officeDocument/2006/relationships/hyperlink" Target="https://www.trustified.in/passandfail/nutrijetmagnesium3in1" TargetMode="External"/><Relationship Id="rId224" Type="http://schemas.openxmlformats.org/officeDocument/2006/relationships/hyperlink" Target="https://www.trustified.in/passandfail/haleupomega3" TargetMode="External"/><Relationship Id="rId225" Type="http://schemas.openxmlformats.org/officeDocument/2006/relationships/hyperlink" Target="https://www.trustified.in/passandfail/naturaltein-omega-3" TargetMode="External"/><Relationship Id="rId226" Type="http://schemas.openxmlformats.org/officeDocument/2006/relationships/hyperlink" Target="https://www.trustified.in/passandfail/naturalteinveganomega" TargetMode="External"/><Relationship Id="rId227" Type="http://schemas.openxmlformats.org/officeDocument/2006/relationships/hyperlink" Target="https://www.trustified.in/passandfail/nutrabay-pro-fish-oil-omega-main" TargetMode="External"/><Relationship Id="rId228" Type="http://schemas.openxmlformats.org/officeDocument/2006/relationships/hyperlink" Target="https://www.trustified.in/passandfail/pureservingomega3" TargetMode="External"/><Relationship Id="rId229" Type="http://schemas.openxmlformats.org/officeDocument/2006/relationships/hyperlink" Target="https://www.trustified.in/passandfail/rawrxveganomega" TargetMode="External"/><Relationship Id="rId230" Type="http://schemas.openxmlformats.org/officeDocument/2006/relationships/hyperlink" Target="https://www.trustified.in/passandfail/tata1mgomega3" TargetMode="External"/><Relationship Id="rId231" Type="http://schemas.openxmlformats.org/officeDocument/2006/relationships/hyperlink" Target="https://www.trustified.in/passandfail/zavedaomega3" TargetMode="External"/><Relationship Id="rId232" Type="http://schemas.openxmlformats.org/officeDocument/2006/relationships/hyperlink" Target="https://www.trustified.in/passandfail/zeroharmomega" TargetMode="External"/><Relationship Id="rId233" Type="http://schemas.openxmlformats.org/officeDocument/2006/relationships/hyperlink" Target="https://www.trustified.in/passandfail/amyleordglutathione" TargetMode="External"/><Relationship Id="rId234" Type="http://schemas.openxmlformats.org/officeDocument/2006/relationships/hyperlink" Target="https://www.trustified.in/passandfail/isabgol" TargetMode="External"/><Relationship Id="rId235" Type="http://schemas.openxmlformats.org/officeDocument/2006/relationships/hyperlink" Target="https://www.trustified.in/passandfail/vaidyaapplecidervinegar" TargetMode="External"/><Relationship Id="rId236" Type="http://schemas.openxmlformats.org/officeDocument/2006/relationships/hyperlink" Target="https://www.trustified.in/passandfail/mbkoshaveda" TargetMode="External"/><Relationship Id="rId237" Type="http://schemas.openxmlformats.org/officeDocument/2006/relationships/hyperlink" Target="https://www.trustified.in/passandfail/nutriquintmelatonin" TargetMode="External"/><Relationship Id="rId238" Type="http://schemas.openxmlformats.org/officeDocument/2006/relationships/hyperlink" Target="https://www.trustified.in/passandfail/plantbasedovegha" TargetMode="External"/><Relationship Id="rId239" Type="http://schemas.openxmlformats.org/officeDocument/2006/relationships/hyperlink" Target="https://www.trustified.in/passandfail/nestlenanpro" TargetMode="External"/><Relationship Id="rId240" Type="http://schemas.openxmlformats.org/officeDocument/2006/relationships/hyperlink" Target="https://www.trustified.in/passandfail/abottpediasure" TargetMode="External"/><Relationship Id="rId241" Type="http://schemas.openxmlformats.org/officeDocument/2006/relationships/hyperlink" Target="https://www.trustified.in/passandfail/supermilk2to6year" TargetMode="External"/><Relationship Id="rId242" Type="http://schemas.openxmlformats.org/officeDocument/2006/relationships/hyperlink" Target="https://www.trustified.in/passandfail/gritzoforboys" TargetMode="External"/><Relationship Id="rId243" Type="http://schemas.openxmlformats.org/officeDocument/2006/relationships/hyperlink" Target="https://www.trustified.in/passandfail/gritzoforboys13years" TargetMode="External"/><Relationship Id="rId244" Type="http://schemas.openxmlformats.org/officeDocument/2006/relationships/hyperlink" Target="https://www.trustified.in/passandfail/gritzoforgirls" TargetMode="External"/><Relationship Id="rId245" Type="http://schemas.openxmlformats.org/officeDocument/2006/relationships/hyperlink" Target="https://www.trustified.in/passandfail/gritzoforgirls13years" TargetMode="External"/><Relationship Id="rId246"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zepto.com/pn/amul-taaza-toned-fresh-milk-pouch/pvid/9d447ba5-1d35-46e1-bc64-e932135d026f" TargetMode="External"/><Relationship Id="rId2" Type="http://schemas.openxmlformats.org/officeDocument/2006/relationships/hyperlink" Target="https://www.bigbasket.com/product-reviews/1202684/amul-taaza-homogenised-toned-milk-6x1-l/" TargetMode="External"/><Relationship Id="rId3" Type="http://schemas.openxmlformats.org/officeDocument/2006/relationships/hyperlink" Target="https://blinkit.com/prn/amul-taaza-toned-milk/prid/19512" TargetMode="External"/><Relationship Id="rId4" Type="http://schemas.openxmlformats.org/officeDocument/2006/relationships/hyperlink" Target="https://www.bigbasket.com/pd/70001832/amul-taaza-fresh-toned-milk-200-ml-carton/" TargetMode="External"/><Relationship Id="rId5" Type="http://schemas.openxmlformats.org/officeDocument/2006/relationships/hyperlink" Target="https://www.zepto.com/pn/amul-gold-full-cream-fresh-milk-pouch/pvid/51d55eac-ca29-4532-9b32-9b7d317f346a" TargetMode="External"/><Relationship Id="rId6" Type="http://schemas.openxmlformats.org/officeDocument/2006/relationships/hyperlink" Target="https://www.zepto.com/pn/amul-gold-full-cream-fresh-milk-pouch/pvid/a3277b40-243f-4bd5-a38e-af3a77b837e1" TargetMode="External"/><Relationship Id="rId7" Type="http://schemas.openxmlformats.org/officeDocument/2006/relationships/hyperlink" Target="https://blinkit.com/prn/amul-gold-full-cream-milk/prid/12872" TargetMode="External"/><Relationship Id="rId8" Type="http://schemas.openxmlformats.org/officeDocument/2006/relationships/hyperlink" Target="https://www.bigbasket.com/pd/40090893/amul-amul-gold-500-ml-pouch/" TargetMode="External"/><Relationship Id="rId9" Type="http://schemas.openxmlformats.org/officeDocument/2006/relationships/hyperlink" Target="https://www.zepto.com/pn/mother-dairy-cow-fresh-milk-pouch/pvid/3b2f7706-f70f-474d-911b-13aebfa73bcc" TargetMode="External"/><Relationship Id="rId10" Type="http://schemas.openxmlformats.org/officeDocument/2006/relationships/hyperlink" Target="https://blinkit.com/prn/mother-dairy-cow-milk/prid/339309" TargetMode="External"/><Relationship Id="rId11" Type="http://schemas.openxmlformats.org/officeDocument/2006/relationships/hyperlink" Target="https://www.swiggy.com/instamart/p/mother-dairy-cow-milk-NDK4IQP8PU" TargetMode="External"/><Relationship Id="rId12" Type="http://schemas.openxmlformats.org/officeDocument/2006/relationships/hyperlink" Target="https://www.bigbasket.com/pd/40147030/mother-dairy-cow-milk-500-ml-pouch/" TargetMode="External"/><Relationship Id="rId13" Type="http://schemas.openxmlformats.org/officeDocument/2006/relationships/hyperlink" Target="https://www.zepto.com/pn/country-delight-cow-fresh-milk-pouch/pvid/ed495088-935c-44a9-919b-b667fde1ac87" TargetMode="External"/><Relationship Id="rId14" Type="http://schemas.openxmlformats.org/officeDocument/2006/relationships/hyperlink" Target="https://www.zepto.com/pn/country-delight-natural-fresh-cow-milk-25g-protein-pouch/pvid/f1f1d95f-ada9-48f7-ab10-f094bb40337b" TargetMode="External"/><Relationship Id="rId15" Type="http://schemas.openxmlformats.org/officeDocument/2006/relationships/hyperlink" Target="https://blinkit.com/prn/country-delight-cow-milk/prid/637875" TargetMode="External"/><Relationship Id="rId16" Type="http://schemas.openxmlformats.org/officeDocument/2006/relationships/hyperlink" Target="https://www.swiggy.com/instamart/p/country-delight-cow-milk-FJJPD63RDQ" TargetMode="External"/><Relationship Id="rId17" Type="http://schemas.openxmlformats.org/officeDocument/2006/relationships/hyperlink" Target="https://www.zepto.com/pn/amul-masti-set-curd-tub/pvid/cf8c88da-d6d3-40af-893c-db15c351513b" TargetMode="External"/><Relationship Id="rId18" Type="http://schemas.openxmlformats.org/officeDocument/2006/relationships/hyperlink" Target="https://www.bigbasket.com/pd/30000356/amul-masti-dahi-200-g-cup/" TargetMode="External"/><Relationship Id="rId19" Type="http://schemas.openxmlformats.org/officeDocument/2006/relationships/hyperlink" Target="https://www.bigbasket.com/product-reviews/1209011/amul-masti-dahi-5x85-g-cup/" TargetMode="External"/><Relationship Id="rId20" Type="http://schemas.openxmlformats.org/officeDocument/2006/relationships/hyperlink" Target="https://blinkit.com/prn/amul-masti-pouch-curd/prid/99407" TargetMode="External"/><Relationship Id="rId21" Type="http://schemas.openxmlformats.org/officeDocument/2006/relationships/hyperlink" Target="https://www.zepto.com/pn/amul-salted-butter/pvid/fc2ffbca-a36b-4728-b6be-3168475f3b75" TargetMode="External"/><Relationship Id="rId22" Type="http://schemas.openxmlformats.org/officeDocument/2006/relationships/hyperlink" Target="https://blinkit.com/prn/amul-salted-butter/prid/160" TargetMode="External"/><Relationship Id="rId23" Type="http://schemas.openxmlformats.org/officeDocument/2006/relationships/hyperlink" Target="https://www.fantasticfood.in/food/amul-butter-500g" TargetMode="External"/><Relationship Id="rId24" Type="http://schemas.openxmlformats.org/officeDocument/2006/relationships/hyperlink" Target="https://www.zepto.com/pn/amul-fresh-malai-paneer/pvid/54099eb2-2d08-4013-a822-a3eebc72f19f" TargetMode="External"/><Relationship Id="rId25" Type="http://schemas.openxmlformats.org/officeDocument/2006/relationships/hyperlink" Target="https://blinkit.com/prn/amul-malai-paneer/prid/191" TargetMode="External"/><Relationship Id="rId26" Type="http://schemas.openxmlformats.org/officeDocument/2006/relationships/hyperlink" Target="https://www.bigbasket.com/pd/40096747/amul-malai-fresh-paneer-200-g/" TargetMode="External"/><Relationship Id="rId27" Type="http://schemas.openxmlformats.org/officeDocument/2006/relationships/hyperlink" Target="https://www.zepto.com/pn/amul-cow-ghee-pouch-classic-authentic/pvid/c9f11f97-fdec-4f73-a7da-b83f599ef2f5" TargetMode="External"/><Relationship Id="rId28" Type="http://schemas.openxmlformats.org/officeDocument/2006/relationships/hyperlink" Target="https://www.swiggy.com/instamart/p/amul-high-aroma-cow-ghee-jar-XJD6YC5D62" TargetMode="External"/><Relationship Id="rId29" Type="http://schemas.openxmlformats.org/officeDocument/2006/relationships/hyperlink" Target="https://www.bigbasket.com/pd/40050538/amul-cow-ghee-200-ml-jar/" TargetMode="External"/><Relationship Id="rId30" Type="http://schemas.openxmlformats.org/officeDocument/2006/relationships/hyperlink" Target="https://www.zepto.com/pn/aashirvaad-select-cow-ghee-made-with-cultured-curd-method/pvid/cf9fc46a-6fc6-44b8-bb65-efba05dac42c" TargetMode="External"/><Relationship Id="rId31" Type="http://schemas.openxmlformats.org/officeDocument/2006/relationships/hyperlink" Target="https://www.bigbasket.com/pd/40119174/aashirvaad-svasti-cow-ghee-1-l/" TargetMode="External"/><Relationship Id="rId32" Type="http://schemas.openxmlformats.org/officeDocument/2006/relationships/hyperlink" Target="https://www.swiggy.com/instamart/p/aashirvaad-svasti-pure-cow-ghee-pouch-8UT03L73WS" TargetMode="External"/><Relationship Id="rId33" Type="http://schemas.openxmlformats.org/officeDocument/2006/relationships/hyperlink" Target="https://www.bigbasket.com/product-reviews/1235617/aashirvaad-superior-mp-atta-3x2-kg/" TargetMode="External"/><Relationship Id="rId34" Type="http://schemas.openxmlformats.org/officeDocument/2006/relationships/hyperlink" Target="https://www.zepto.com/pn/superior-mp-wheat-atta-0-maida-aashirvaad/pvid/d156ac8e-53c1-4f40-aea8-3de5b28f948d" TargetMode="External"/><Relationship Id="rId35" Type="http://schemas.openxmlformats.org/officeDocument/2006/relationships/hyperlink" Target="https://blinkit.com/prn/aashirvaad-superior-mp-chakki-atta-0-maida-100-atta/prid/344107" TargetMode="External"/><Relationship Id="rId36" Type="http://schemas.openxmlformats.org/officeDocument/2006/relationships/hyperlink" Target="https://www.swiggy.com/instamart/p/aashirvaad-superior-mp-atta-100-whole-wheat-flour-0-maida-J69QCY4JAN" TargetMode="External"/><Relationship Id="rId37" Type="http://schemas.openxmlformats.org/officeDocument/2006/relationships/hyperlink" Target="https://www.zepto.com/pn/tata-salt-free-flowing-and-iodized-namak-vacuum-evaporated-salt-in-fresh/pvid/208bdb3c-da54-493a-9cb1-5b6c159ae9e1" TargetMode="External"/><Relationship Id="rId38" Type="http://schemas.openxmlformats.org/officeDocument/2006/relationships/hyperlink" Target="https://blinkit.com/prn/tata-salt-vacuum-evaporated-iodised/prid/105" TargetMode="External"/><Relationship Id="rId39" Type="http://schemas.openxmlformats.org/officeDocument/2006/relationships/hyperlink" Target="https://www.swiggy.com/instamart/p/tata-salt-iodised-namak-vacuum-evaporated-salt-UEURIRMFHO" TargetMode="External"/><Relationship Id="rId40" Type="http://schemas.openxmlformats.org/officeDocument/2006/relationships/hyperlink" Target="https://www.bigbasket.com/product-reviews/30000590/india-gate-basmati-rice-feast-rozzana-1-kg-pouch/" TargetMode="External"/><Relationship Id="rId41" Type="http://schemas.openxmlformats.org/officeDocument/2006/relationships/hyperlink" Target="https://www.zepto.com/pn/india-gate-all-rounder-feast-rozzana-basmati-rice-aged-rice-fluffy-and-non-sticky/pvid/75118c7a-2b92-441a-995c-ea416b67c05e" TargetMode="External"/><Relationship Id="rId42" Type="http://schemas.openxmlformats.org/officeDocument/2006/relationships/hyperlink" Target="https://www.swiggy.com/instamart/p/india-gate-basmati-rice-feast-rozzana-X1D0V8WZ2T" TargetMode="External"/><Relationship Id="rId43" Type="http://schemas.openxmlformats.org/officeDocument/2006/relationships/hyperlink" Target="https://www.zepto.com/pn/fortune-kachi-ghani-pure-mustard-oil-jar/pvid/ad176cf4-ea73-45a8-bcc1-0fd1fe475236" TargetMode="External"/><Relationship Id="rId44" Type="http://schemas.openxmlformats.org/officeDocument/2006/relationships/hyperlink" Target="https://blinkit.com/prn/fortune-premium-kachi-ghani-pure-mustard-oil/prid/50" TargetMode="External"/><Relationship Id="rId45" Type="http://schemas.openxmlformats.org/officeDocument/2006/relationships/hyperlink" Target="https://www.bigbasket.com/pd/276764/fortune-fortune-premium-kachi-ghani-pure-mustard-oil-500-ml-bottle/" TargetMode="External"/><Relationship Id="rId46" Type="http://schemas.openxmlformats.org/officeDocument/2006/relationships/hyperlink" Target="https://www.zepto.com/pn/fortune-soya-chunks-pouch/pvid/ac6a76c9-5131-4855-963d-be340c0a0f4a" TargetMode="External"/><Relationship Id="rId47" Type="http://schemas.openxmlformats.org/officeDocument/2006/relationships/hyperlink" Target="https://www.bigbasket.com/product-reviews/40019481/fortune-soya-chunks-15x-more-protein-than-milk-200-g-carton/" TargetMode="External"/><Relationship Id="rId48" Type="http://schemas.openxmlformats.org/officeDocument/2006/relationships/hyperlink" Target="https://blinkit.com/prn/fortune-soya-chunks/prid/17571" TargetMode="External"/><Relationship Id="rId49" Type="http://schemas.openxmlformats.org/officeDocument/2006/relationships/hyperlink" Target="https://www.zepto.com/pn/maggi-masala-ae-magic-sabzi-masala/pvid/e3c9d6f1-6854-49ad-b31c-42a33ccf2d60" TargetMode="External"/><Relationship Id="rId50" Type="http://schemas.openxmlformats.org/officeDocument/2006/relationships/hyperlink" Target="https://www.bigbasket.com/pd/40222045/maggi-masala-ae-magic-all-in-one-masala-for-dry-vegetables-paneer-dal-more-120-g/" TargetMode="External"/><Relationship Id="rId51" Type="http://schemas.openxmlformats.org/officeDocument/2006/relationships/hyperlink" Target="https://blinkit.com/prn/maggi-masala-ae-magic-sabzi-masala/prid/383252" TargetMode="External"/><Relationship Id="rId52" Type="http://schemas.openxmlformats.org/officeDocument/2006/relationships/hyperlink" Target="https://www.swiggy.com/instamart/p/maggi-masala-ae-magic-HXU8O1FGXT" TargetMode="External"/><Relationship Id="rId53" Type="http://schemas.openxmlformats.org/officeDocument/2006/relationships/hyperlink" Target="https://www.zepto.com/pn/mdh-deggi-mirch-powder/pvid/e894a7e7-44b2-4bbe-a72f-ce910cfe6c80" TargetMode="External"/><Relationship Id="rId54" Type="http://schemas.openxmlformats.org/officeDocument/2006/relationships/hyperlink" Target="https://www.bigbasket.com/pd/260799/mdh-powder-deggi-mirch-100-g-carton/" TargetMode="External"/><Relationship Id="rId55" Type="http://schemas.openxmlformats.org/officeDocument/2006/relationships/hyperlink" Target="https://blinkit.com/prn/mdh-deggi-red-chilli-powder/prid/86" TargetMode="External"/><Relationship Id="rId56" Type="http://schemas.openxmlformats.org/officeDocument/2006/relationships/hyperlink" Target="https://www.zepto.com/pn/everest-kashmiri-lal-chilli-powder/pvid/b5968a05-9660-4aa0-af5d-2841695352e8" TargetMode="External"/><Relationship Id="rId57" Type="http://schemas.openxmlformats.org/officeDocument/2006/relationships/hyperlink" Target="https://www.zepto.com/pn/everest-kashmiri-lal-chilli-powder/pvid/8295695a-71e2-4675-940b-d697c60ea7e1" TargetMode="External"/><Relationship Id="rId58" Type="http://schemas.openxmlformats.org/officeDocument/2006/relationships/hyperlink" Target="https://www.swiggy.com/instamart/p/everest-kashmirilal-brilliant-red-chilli-powder-91WZ35WQNQ" TargetMode="External"/><Relationship Id="rId59" Type="http://schemas.openxmlformats.org/officeDocument/2006/relationships/hyperlink" Target="https://www.bigbasket.com/pd/40059446/everest-powder-kashmirilal-chilli-50-g/" TargetMode="External"/><Relationship Id="rId60" Type="http://schemas.openxmlformats.org/officeDocument/2006/relationships/hyperlink" Target="https://www.bigbasket.com/pd/40002086/brooke-bond-tea-taaza-250-g-pouch/" TargetMode="External"/><Relationship Id="rId61" Type="http://schemas.openxmlformats.org/officeDocument/2006/relationships/hyperlink" Target="https://www.zepto.com/pn/taaza-tea/pvid/199bd75d-a96b-44cb-bf3a-fb24fe3d71da" TargetMode="External"/><Relationship Id="rId62" Type="http://schemas.openxmlformats.org/officeDocument/2006/relationships/hyperlink" Target="https://blinkit.com/prn/brooke-bond-taaza-tea-250-g-pack-of-2/prid/483354" TargetMode="External"/><Relationship Id="rId63" Type="http://schemas.openxmlformats.org/officeDocument/2006/relationships/hyperlink" Target="https://www.zepto.com/pn/nescafe-classic-instant-coffee-powder-pure-coffee-sachets/pvid/c6f424e1-01e7-4d5f-9514-d246afe8b86b" TargetMode="External"/><Relationship Id="rId64" Type="http://schemas.openxmlformats.org/officeDocument/2006/relationships/hyperlink" Target="https://blinkit.com/prn/nescafe-classic-100-pure-instant-coffee-powder/prid/476609" TargetMode="External"/><Relationship Id="rId65" Type="http://schemas.openxmlformats.org/officeDocument/2006/relationships/hyperlink" Target="https://www.swiggy.com/stores/instamart/p/nescafe-classic-instant-coffee-powder-with-over-analyzer-mug-H0D5KMFZ9X" TargetMode="External"/><Relationship Id="rId66" Type="http://schemas.openxmlformats.org/officeDocument/2006/relationships/hyperlink" Target="https://www.bigbasket.com/pd/267376/nescafe-classic-100-pure-instant-coffee-25-g-jar/" TargetMode="External"/><Relationship Id="rId67" Type="http://schemas.openxmlformats.org/officeDocument/2006/relationships/hyperlink" Target="https://blinkit.com/prn/kissan-fresh-tomato-ketchup/prid/476046" TargetMode="External"/><Relationship Id="rId68" Type="http://schemas.openxmlformats.org/officeDocument/2006/relationships/hyperlink" Target="https://www.zepto.com/pn/kissan-fresh-tomato-ketchup/pvid/065707f5-d5fc-4c08-a13a-caba8e89a63c" TargetMode="External"/><Relationship Id="rId69" Type="http://schemas.openxmlformats.org/officeDocument/2006/relationships/hyperlink" Target="https://www.bigbasket.com/pd/266541/kissan-fresh-tomato-ketchup-500-g-bottle/" TargetMode="External"/><Relationship Id="rId70" Type="http://schemas.openxmlformats.org/officeDocument/2006/relationships/hyperlink" Target="https://www.zepto.com/pn/kelloggs-corn-flakes/pvid/46fa29da-b407-4a95-836a-670e4961bfe7" TargetMode="External"/><Relationship Id="rId71" Type="http://schemas.openxmlformats.org/officeDocument/2006/relationships/hyperlink" Target="https://www.zepto.com/pn/kelloggs-original-corn-flakes/pvid/bd5b6424-330a-4392-a4d8-aad748363acc" TargetMode="External"/><Relationship Id="rId72" Type="http://schemas.openxmlformats.org/officeDocument/2006/relationships/hyperlink" Target="https://www.zeptonow.com/pn/kelloggs-original-corn-flakes/pvid/bce3d20a-69b0-47a0-80ef-324d2f5ac959" TargetMode="External"/><Relationship Id="rId73" Type="http://schemas.openxmlformats.org/officeDocument/2006/relationships/hyperlink" Target="https://blinkit.com/prn/kelloggs-original-cereals-corn-flakes/prid/129" TargetMode="External"/><Relationship Id="rId74" Type="http://schemas.openxmlformats.org/officeDocument/2006/relationships/hyperlink" Target="https://blinkit.com/prn/kelloggs-original-corn-flakes/prid/406721" TargetMode="External"/><Relationship Id="rId75" Type="http://schemas.openxmlformats.org/officeDocument/2006/relationships/hyperlink" Target="https://www.zepto.com/pn/saffola-oats-instant-rolled-oats-soft-creamy-oats-power-of-protein-iron-fibre/pvid/e14564e8-eb16-452b-b18e-04f088f4f99e" TargetMode="External"/><Relationship Id="rId76" Type="http://schemas.openxmlformats.org/officeDocument/2006/relationships/hyperlink" Target="https://blinkit.com/prn/saffola-natural-instant-oats-500-g/prid/24626" TargetMode="External"/><Relationship Id="rId77" Type="http://schemas.openxmlformats.org/officeDocument/2006/relationships/hyperlink" Target="https://www.zepto.com/pn/haldirams-salted-peanut/pvid/433d67d1-416e-431c-921b-84898116b255" TargetMode="External"/><Relationship Id="rId78" Type="http://schemas.openxmlformats.org/officeDocument/2006/relationships/hyperlink" Target="https://blinkit.com/prn/haldirams-classic-salted-peanuts/prid/605" TargetMode="External"/><Relationship Id="rId79" Type="http://schemas.openxmlformats.org/officeDocument/2006/relationships/hyperlink" Target="https://www.swiggy.com/stores/instamart/p/haldiram-delhi-classic-salted-peanuts-SMAHT7DMNY" TargetMode="External"/><Relationship Id="rId80" Type="http://schemas.openxmlformats.org/officeDocument/2006/relationships/hyperlink" Target="https://www.bigbasket.com/pd/20002982/haldirams-namkeen-salted-peanuts-40-g-pouch/" TargetMode="External"/><Relationship Id="rId81" Type="http://schemas.openxmlformats.org/officeDocument/2006/relationships/hyperlink" Target="https://blinkit.com/prn/britannia-100-whole-wheat-bread/prid/127031" TargetMode="External"/><Relationship Id="rId82" Type="http://schemas.openxmlformats.org/officeDocument/2006/relationships/hyperlink" Target="https://www.swiggy.com/instamart/p/britannia-100-whole-wheat-bread-no-maida-JKIZPNZMWB" TargetMode="External"/><Relationship Id="rId83" Type="http://schemas.openxmlformats.org/officeDocument/2006/relationships/hyperlink" Target="https://www.bigbasket.com/pd/40062411/britannia-whole-wheat-bread-rich-in-dietary-fibre-450-g/" TargetMode="External"/><Relationship Id="rId84" Type="http://schemas.openxmlformats.org/officeDocument/2006/relationships/hyperlink" Target="https://blinkit.com/prn/cadbury-bournville-rich-cocoa-50-dark-chocolate-bar/prid/556" TargetMode="External"/><Relationship Id="rId85" Type="http://schemas.openxmlformats.org/officeDocument/2006/relationships/hyperlink" Target="https://blinkit.com/brand/Cadbury%20Bournville" TargetMode="External"/><Relationship Id="rId86" Type="http://schemas.openxmlformats.org/officeDocument/2006/relationships/hyperlink" Target="https://www.zepto.com/pn/pintola-all-natural-peanut-butter-crunchy/pvid/a2b3f4dd-5c83-472b-801c-158e2845231d" TargetMode="External"/><Relationship Id="rId87" Type="http://schemas.openxmlformats.org/officeDocument/2006/relationships/hyperlink" Target="https://blinkit.com/prn/pintola-all-natural-crunchy-peanut-butter-unsweetened/prid/425544" TargetMode="External"/><Relationship Id="rId88" Type="http://schemas.openxmlformats.org/officeDocument/2006/relationships/hyperlink" Target="https://www.bigbasket.com/pd/40127459/pintola-organic-peanut-butter-crunchy-unsweetened-100-natural-350-g/" TargetMode="External"/><Relationship Id="rId89" Type="http://schemas.openxmlformats.org/officeDocument/2006/relationships/hyperlink" Target="https://www.zepto.com/pn/sundrop-peanut-butter-creamy-jar/pvid/fe1db8af-fad9-45f9-be6f-acf7277bc43c" TargetMode="External"/><Relationship Id="rId90" Type="http://schemas.openxmlformats.org/officeDocument/2006/relationships/hyperlink" Target="https://www.zepto.com/pn/sundrop-peanut-butter-100-natural-creamy/pvid/8c40bdfc-92a6-4a4a-8413-970d2ab24bbe" TargetMode="External"/><Relationship Id="rId91" Type="http://schemas.openxmlformats.org/officeDocument/2006/relationships/hyperlink" Target="https://blinkit.com/prn/sundrop-creamy-peanut-butter/prid/166" TargetMode="External"/><Relationship Id="rId92" Type="http://schemas.openxmlformats.org/officeDocument/2006/relationships/hyperlink" Target="https://blinkit.com/prn/sundrop-creamy-peanut-butter/prid/404622" TargetMode="External"/><Relationship Id="rId93" Type="http://schemas.openxmlformats.org/officeDocument/2006/relationships/hyperlink" Target="https://www.zeptonow.com/brand/Sundrop?spvid=48e07191-1911-425e-a71f-7b302308c306&amp;cart=open" TargetMode="External"/><Relationship Id="rId94" Type="http://schemas.openxmlformats.org/officeDocument/2006/relationships/hyperlink" Target="https://www.zepto.com/pn/alpino-natural-peanut-butter-crunch-unsweetened/pvid/5a38f84a-1acc-46f7-87fa-534cb9917389" TargetMode="External"/><Relationship Id="rId95" Type="http://schemas.openxmlformats.org/officeDocument/2006/relationships/hyperlink" Target="https://blinkit.com/prn/alpino-natural-smooth-unsweetened-peanut-butter/prid/460593" TargetMode="External"/><Relationship Id="rId96" Type="http://schemas.openxmlformats.org/officeDocument/2006/relationships/hyperlink" Target="https://www.zepto.com/pn/alpino-natural-peanut-butter-smooth-high-protein-peanut-butter-creamy-gluten-free-vegan/pvid/183e6f89-12dd-407f-8e57-96337930ff03" TargetMode="External"/><Relationship Id="rId97" Type="http://schemas.openxmlformats.org/officeDocument/2006/relationships/hyperlink" Target="https://www.zepto.com/pn/patanjali-honey-natural-shahed-no-added-sugar-sahad/pvid/04b32871-ec18-4508-ac86-07403f338c72" TargetMode="External"/><Relationship Id="rId98" Type="http://schemas.openxmlformats.org/officeDocument/2006/relationships/hyperlink" Target="https://blinkit.com/prn/patanjali-honey/prid/10732" TargetMode="External"/><Relationship Id="rId99" Type="http://schemas.openxmlformats.org/officeDocument/2006/relationships/hyperlink" Target="https://www.zepto.com/pn/saffola-honey-active-made-with-forest-honey-pure-honey-no-sugar-adulteration/pvid/1ecef729-ac17-4f2f-b7da-04b9bb3e0673" TargetMode="External"/><Relationship Id="rId100" Type="http://schemas.openxmlformats.org/officeDocument/2006/relationships/hyperlink" Target="https://www.zepto.com/pn/saffola-honey-active-made-with-forest-honey-pure-honey-no-sugar-adulteration/pvid/60963468-92f1-45d8-a876-e5fe20606a2d" TargetMode="External"/><Relationship Id="rId101" Type="http://schemas.openxmlformats.org/officeDocument/2006/relationships/hyperlink" Target="https://blinkit.com/prn/saffola-honey-active-500-g/prid/425301" TargetMode="External"/><Relationship Id="rId102" Type="http://schemas.openxmlformats.org/officeDocument/2006/relationships/hyperlink" Target="https://blinkit.com/prn/saffola-honey-active/prid/425302" TargetMode="External"/><Relationship Id="rId103" Type="http://schemas.openxmlformats.org/officeDocument/2006/relationships/hyperlink" Target="https://blinkit.com/prn/muscleblaze-biozyme-performance-whey-protein-rich-chocolate/prid/539304" TargetMode="External"/><Relationship Id="rId104" Type="http://schemas.openxmlformats.org/officeDocument/2006/relationships/hyperlink" Target="https://blinkit.com/prn/muscleblaze-biozyme-iso-zero-100percent-pure-whey-protein-(ice-cream-chocolate)/prid/548029" TargetMode="External"/><Relationship Id="rId105" Type="http://schemas.openxmlformats.org/officeDocument/2006/relationships/hyperlink" Target="https://www.zepto.com/pn/the-whole-truth-crunchy-dark-chocolate-peanut-butter/pvid/d1e65392-14d3-4214-b6fa-9891465d70fe" TargetMode="External"/><Relationship Id="rId106" Type="http://schemas.openxmlformats.org/officeDocument/2006/relationships/hyperlink" Target="https://www.zeptonow.com/pn/the-whole-truth-peanut-butter-protein-bar/pvid/0b313bc4-9c87-49e0-9403-fca8ea70bc25" TargetMode="External"/><Relationship Id="rId107" Type="http://schemas.openxmlformats.org/officeDocument/2006/relationships/hyperlink" Target="https://www.zepto.com/brand/The_whole_truth/a95ddf16-f4e2-4933-845c-b95defe6c44f" TargetMode="External"/><Relationship Id="rId108" Type="http://schemas.openxmlformats.org/officeDocument/2006/relationships/hyperlink" Target="https://www.zepto.com/brand/The_whole_truth/a95ddf16-f4e2-4933-845c-b95defe6c44f" TargetMode="External"/><Relationship Id="rId109" Type="http://schemas.openxmlformats.org/officeDocument/2006/relationships/hyperlink" Target="https://blinkit.com/prn/yoga-bar-assorted-breakfast-protein-bar-pack-of-6/prid/475628" TargetMode="External"/><Relationship Id="rId110" Type="http://schemas.openxmlformats.org/officeDocument/2006/relationships/hyperlink" Target="https://www.zepto.com/pn/yoga-bar-power-up-20g-protein-bar-coffee-crush-no-added-sugar/pvid/0e9cca8e-0250-4e3a-aa15-c498248a7c9d" TargetMode="External"/><Relationship Id="rId11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newsbytesapp.com/news/business/chips-colas-condoms-rule-shopping-carts-on-quick-commerce-platforms/story" TargetMode="External"/><Relationship Id="rId2" Type="http://schemas.openxmlformats.org/officeDocument/2006/relationships/hyperlink" Target="https://www.newsbytesapp.com/news/business/chips-colas-condoms-rule-shopping-carts-on-quick-commerce-platforms/story" TargetMode="External"/><Relationship Id="rId3" Type="http://schemas.openxmlformats.org/officeDocument/2006/relationships/hyperlink" Target="https://www.afaqs.com/news/mktg/zeptos-2025-data-maps-changing-shopping-habits-across-indian-cities-10954599" TargetMode="External"/><Relationship Id="rId4" Type="http://schemas.openxmlformats.org/officeDocument/2006/relationships/hyperlink" Target="https://bestmediainfo.com/insights/gold-iphones-666-roses-a-minute-what-indians-ordered-on-instamart-in-2025-might-surprise-you-10930811" TargetMode="External"/><Relationship Id="rId5" Type="http://schemas.openxmlformats.org/officeDocument/2006/relationships/hyperlink" Target="https://www.media4growth.com/showcase/campaigns/blinkit-turns-indias-shopping-data-into-year-end-ooh-humour-81597" TargetMode="External"/><Relationship Id="rId6" Type="http://schemas.openxmlformats.org/officeDocument/2006/relationships/hyperlink" Target="https://metricscart.com/insights/protein-bars-on-zepto-vs-blinkit/" TargetMode="External"/><Relationship Id="rId7" Type="http://schemas.openxmlformats.org/officeDocument/2006/relationships/hyperlink" Target="https://www.bloomberg.com/features/2025-India-instant-shopping/" TargetMode="External"/><Relationship Id="rId8" Type="http://schemas.openxmlformats.org/officeDocument/2006/relationships/hyperlink" Target="https://www.ciim.in/zepto-vs-blinkit-vs-instamart-market-share-revenue-profit-a-case-study-2024-20265/"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trustified.in/passandfail" TargetMode="External"/><Relationship Id="rId2" Type="http://schemas.openxmlformats.org/officeDocument/2006/relationships/hyperlink" Target="https://www.trustified.in/nut-butters" TargetMode="External"/><Relationship Id="rId3" Type="http://schemas.openxmlformats.org/officeDocument/2006/relationships/hyperlink" Target="https://www.trustified.in/nmr-reports" TargetMode="External"/><Relationship Id="rId4" Type="http://schemas.openxmlformats.org/officeDocument/2006/relationships/hyperlink" Target="https://twtprotein.notion.site/Protein-Lab-Test-Reports-1d0fae391f3f4c8f9f398306890cedff" TargetMode="External"/><Relationship Id="rId5" Type="http://schemas.openxmlformats.org/officeDocument/2006/relationships/hyperlink" Target="https://www.muscleblaze.com/" TargetMode="External"/><Relationship Id="rId6" Type="http://schemas.openxmlformats.org/officeDocument/2006/relationships/hyperlink" Target="https://www.unboxhealth.in/explor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B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0"/>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68.65" hidden="false" customHeight="false" outlineLevel="0" collapsed="false">
      <c r="A6" s="5" t="s">
        <v>5</v>
      </c>
      <c r="B6" s="6" t="s">
        <v>6</v>
      </c>
    </row>
    <row r="7" customFormat="false" ht="35.05" hidden="false" customHeight="false" outlineLevel="0" collapsed="false">
      <c r="A7" s="5" t="s">
        <v>7</v>
      </c>
      <c r="B7" s="6" t="s">
        <v>8</v>
      </c>
    </row>
    <row r="9" customFormat="false" ht="15" hidden="false" customHeight="false" outlineLevel="0" collapsed="false">
      <c r="A9" s="3" t="s">
        <v>9</v>
      </c>
      <c r="B9" s="4"/>
    </row>
    <row r="10" customFormat="false" ht="15" hidden="false" customHeight="false" outlineLevel="0" collapsed="false">
      <c r="A10" s="7" t="s">
        <v>10</v>
      </c>
      <c r="B10" s="8" t="n">
        <f aca="false">COUNTA('All reports'!$A$5:$A$249)</f>
        <v>245</v>
      </c>
    </row>
    <row r="11" customFormat="false" ht="15" hidden="false" customHeight="false" outlineLevel="0" collapsed="false">
      <c r="A11" s="7" t="s">
        <v>11</v>
      </c>
      <c r="B11" s="8" t="n">
        <f aca="false">COUNTIF('All reports'!$J$5:$J$249,"Trustified Pass/Fail")</f>
        <v>179</v>
      </c>
    </row>
    <row r="12" customFormat="false" ht="15" hidden="false" customHeight="false" outlineLevel="0" collapsed="false">
      <c r="A12" s="7" t="s">
        <v>12</v>
      </c>
      <c r="B12" s="8" t="n">
        <f aca="false">COUNTIF('All reports'!$J$5:$J$249,"Trustified NMR")</f>
        <v>6</v>
      </c>
    </row>
    <row r="13" customFormat="false" ht="15" hidden="false" customHeight="false" outlineLevel="0" collapsed="false">
      <c r="A13" s="7" t="s">
        <v>13</v>
      </c>
      <c r="B13" s="8" t="n">
        <f aca="false">COUNTIF('All reports'!$J$5:$J$249,"The Whole Truth hub")</f>
        <v>6</v>
      </c>
    </row>
    <row r="14" customFormat="false" ht="15" hidden="false" customHeight="false" outlineLevel="0" collapsed="false">
      <c r="A14" s="7" t="s">
        <v>14</v>
      </c>
      <c r="B14" s="8" t="n">
        <f aca="false">COUNTIF('All reports'!$J$5:$J$249,"Unbox Health")</f>
        <v>54</v>
      </c>
    </row>
    <row r="15" customFormat="false" ht="15" hidden="false" customHeight="false" outlineLevel="0" collapsed="false">
      <c r="A15" s="7" t="s">
        <v>15</v>
      </c>
      <c r="B15" s="8" t="n">
        <f aca="false">COUNTIF('All reports'!$F$5:$F$249,"Passed")</f>
        <v>100</v>
      </c>
    </row>
    <row r="16" customFormat="false" ht="15" hidden="false" customHeight="false" outlineLevel="0" collapsed="false">
      <c r="A16" s="7" t="s">
        <v>16</v>
      </c>
      <c r="B16" s="8" t="n">
        <f aca="false">COUNTIF('All reports'!$F$5:$F$249,"Failed")</f>
        <v>56</v>
      </c>
    </row>
    <row r="17" customFormat="false" ht="15" hidden="false" customHeight="false" outlineLevel="0" collapsed="false">
      <c r="A17" s="7" t="s">
        <v>17</v>
      </c>
      <c r="B17" s="8" t="n">
        <f aca="false">COUNTIF('All reports'!$F$5:$F$249,"Expired")</f>
        <v>34</v>
      </c>
    </row>
    <row r="18" customFormat="false" ht="15" hidden="false" customHeight="false" outlineLevel="0" collapsed="false">
      <c r="A18" s="7" t="s">
        <v>18</v>
      </c>
      <c r="B18" s="8" t="n">
        <f aca="false">SUMPRODUCT(--('All reports'!$M$5:$M$249&lt;&gt;""))</f>
        <v>50</v>
      </c>
    </row>
    <row r="19" customFormat="false" ht="15" hidden="false" customHeight="false" outlineLevel="0" collapsed="false">
      <c r="A19" s="7" t="s">
        <v>19</v>
      </c>
      <c r="B19" s="8" t="n">
        <f aca="false">COUNTIF('All reports'!$Z$5:$Z$249,1)</f>
        <v>39</v>
      </c>
    </row>
    <row r="20" customFormat="false" ht="15" hidden="false" customHeight="false" outlineLevel="0" collapsed="false">
      <c r="A20" s="7" t="s">
        <v>20</v>
      </c>
      <c r="B20" s="8" t="n">
        <f aca="false">COUNTIFS('All reports'!$Z$5:$Z$249,1,'All reports'!$S$5:$S$249,"&gt;=3")</f>
        <v>21</v>
      </c>
    </row>
    <row r="21" customFormat="false" ht="15" hidden="false" customHeight="false" outlineLevel="0" collapsed="false">
      <c r="A21" s="7" t="s">
        <v>21</v>
      </c>
      <c r="B21" s="8" t="n">
        <f aca="false">COUNTIFS('All reports'!$Z$5:$Z$249,1,'All reports'!$F$5:$F$249,"Failed")</f>
        <v>12</v>
      </c>
    </row>
    <row r="22" customFormat="false" ht="15" hidden="false" customHeight="false" outlineLevel="0" collapsed="false">
      <c r="A22" s="7" t="s">
        <v>22</v>
      </c>
      <c r="B22" s="8" t="n">
        <f aca="false">MAX('All reports'!$T$5:$T$249)</f>
        <v>1581833</v>
      </c>
    </row>
    <row r="23" customFormat="false" ht="15" hidden="false" customHeight="false" outlineLevel="0" collapsed="false">
      <c r="A23" s="7" t="s">
        <v>23</v>
      </c>
      <c r="B23" s="9" t="n">
        <f aca="false">Scoring!B19</f>
        <v>14</v>
      </c>
    </row>
    <row r="25" customFormat="false" ht="15" hidden="false" customHeight="false" outlineLevel="0" collapsed="false">
      <c r="A25" s="3" t="s">
        <v>24</v>
      </c>
      <c r="B25" s="4"/>
    </row>
    <row r="26" customFormat="false" ht="35.05" hidden="false" customHeight="false" outlineLevel="0" collapsed="false">
      <c r="A26" s="5" t="s">
        <v>25</v>
      </c>
      <c r="B26" s="6" t="s">
        <v>26</v>
      </c>
    </row>
    <row r="27" customFormat="false" ht="23.85" hidden="false" customHeight="false" outlineLevel="0" collapsed="false">
      <c r="A27" s="5" t="s">
        <v>27</v>
      </c>
      <c r="B27" s="6" t="s">
        <v>28</v>
      </c>
    </row>
    <row r="28" customFormat="false" ht="23.85" hidden="false" customHeight="false" outlineLevel="0" collapsed="false">
      <c r="A28" s="5" t="s">
        <v>29</v>
      </c>
      <c r="B28" s="6" t="s">
        <v>30</v>
      </c>
    </row>
    <row r="29" customFormat="false" ht="23.85" hidden="false" customHeight="false" outlineLevel="0" collapsed="false">
      <c r="A29" s="5" t="s">
        <v>31</v>
      </c>
      <c r="B29" s="6" t="s">
        <v>32</v>
      </c>
    </row>
    <row r="30" customFormat="false" ht="15" hidden="false" customHeight="false" outlineLevel="0" collapsed="false">
      <c r="A30" s="5" t="s">
        <v>33</v>
      </c>
      <c r="B30" s="6" t="s">
        <v>34</v>
      </c>
    </row>
    <row r="31" customFormat="false" ht="35.05" hidden="false" customHeight="false" outlineLevel="0" collapsed="false">
      <c r="A31" s="5" t="s">
        <v>35</v>
      </c>
      <c r="B31" s="6" t="s">
        <v>36</v>
      </c>
    </row>
    <row r="33" customFormat="false" ht="15" hidden="false" customHeight="false" outlineLevel="0" collapsed="false">
      <c r="A33" s="3" t="s">
        <v>37</v>
      </c>
      <c r="B33" s="4"/>
    </row>
    <row r="34" customFormat="false" ht="23.85" hidden="false" customHeight="false" outlineLevel="0" collapsed="false">
      <c r="A34" s="5" t="s">
        <v>38</v>
      </c>
      <c r="B34" s="6" t="s">
        <v>39</v>
      </c>
    </row>
    <row r="35" customFormat="false" ht="23.85" hidden="false" customHeight="false" outlineLevel="0" collapsed="false">
      <c r="A35" s="5" t="s">
        <v>40</v>
      </c>
      <c r="B35" s="6" t="s">
        <v>41</v>
      </c>
    </row>
    <row r="36" customFormat="false" ht="23.85" hidden="false" customHeight="false" outlineLevel="0" collapsed="false">
      <c r="A36" s="5" t="s">
        <v>42</v>
      </c>
      <c r="B36" s="6" t="s">
        <v>43</v>
      </c>
    </row>
    <row r="37" customFormat="false" ht="23.85" hidden="false" customHeight="false" outlineLevel="0" collapsed="false">
      <c r="A37" s="5" t="s">
        <v>44</v>
      </c>
      <c r="B37" s="6" t="s">
        <v>45</v>
      </c>
    </row>
    <row r="39" customFormat="false" ht="15" hidden="false" customHeight="false" outlineLevel="0" collapsed="false">
      <c r="A39" s="3" t="s">
        <v>46</v>
      </c>
      <c r="B39" s="4"/>
    </row>
    <row r="40" customFormat="false" ht="23.85" hidden="false" customHeight="false" outlineLevel="0" collapsed="false">
      <c r="A40" s="5" t="s">
        <v>47</v>
      </c>
      <c r="B40" s="6" t="s">
        <v>48</v>
      </c>
    </row>
    <row r="41" customFormat="false" ht="23.85" hidden="false" customHeight="false" outlineLevel="0" collapsed="false">
      <c r="A41" s="5" t="s">
        <v>49</v>
      </c>
      <c r="B41" s="6" t="s">
        <v>50</v>
      </c>
    </row>
    <row r="42" customFormat="false" ht="23.85" hidden="false" customHeight="false" outlineLevel="0" collapsed="false">
      <c r="A42" s="5" t="s">
        <v>51</v>
      </c>
      <c r="B42" s="6" t="s">
        <v>52</v>
      </c>
    </row>
    <row r="43" customFormat="false" ht="23.85" hidden="false" customHeight="false" outlineLevel="0" collapsed="false">
      <c r="A43" s="5" t="s">
        <v>53</v>
      </c>
      <c r="B43" s="6" t="s">
        <v>54</v>
      </c>
    </row>
    <row r="44" customFormat="false" ht="23.85" hidden="false" customHeight="false" outlineLevel="0" collapsed="false">
      <c r="A44" s="5" t="s">
        <v>55</v>
      </c>
      <c r="B44" s="6" t="s">
        <v>56</v>
      </c>
    </row>
    <row r="45" customFormat="false" ht="35.05" hidden="false" customHeight="false" outlineLevel="0" collapsed="false">
      <c r="A45" s="5" t="s">
        <v>57</v>
      </c>
      <c r="B45" s="6" t="s">
        <v>58</v>
      </c>
    </row>
    <row r="47" customFormat="false" ht="15" hidden="false" customHeight="false" outlineLevel="0" collapsed="false">
      <c r="A47" s="3" t="s">
        <v>59</v>
      </c>
      <c r="B47" s="4"/>
    </row>
    <row r="48" customFormat="false" ht="15" hidden="false" customHeight="false" outlineLevel="0" collapsed="false">
      <c r="A48" s="6" t="s">
        <v>60</v>
      </c>
      <c r="B48" s="10" t="s">
        <v>61</v>
      </c>
    </row>
    <row r="49" customFormat="false" ht="15" hidden="false" customHeight="false" outlineLevel="0" collapsed="false">
      <c r="A49" s="6" t="s">
        <v>62</v>
      </c>
      <c r="B49" s="10" t="s">
        <v>63</v>
      </c>
    </row>
    <row r="50" customFormat="false" ht="15" hidden="false" customHeight="false" outlineLevel="0" collapsed="false">
      <c r="A50" s="6" t="s">
        <v>64</v>
      </c>
      <c r="B50" s="10" t="s">
        <v>65</v>
      </c>
    </row>
    <row r="51" customFormat="false" ht="15" hidden="false" customHeight="false" outlineLevel="0" collapsed="false">
      <c r="A51" s="6" t="s">
        <v>66</v>
      </c>
      <c r="B51" s="10" t="s">
        <v>67</v>
      </c>
    </row>
    <row r="52" customFormat="false" ht="15" hidden="false" customHeight="false" outlineLevel="0" collapsed="false">
      <c r="A52" s="6" t="s">
        <v>68</v>
      </c>
      <c r="B52" s="10" t="s">
        <v>69</v>
      </c>
    </row>
    <row r="53" customFormat="false" ht="15" hidden="false" customHeight="false" outlineLevel="0" collapsed="false">
      <c r="A53" s="6" t="s">
        <v>70</v>
      </c>
      <c r="B53" s="10" t="s">
        <v>71</v>
      </c>
    </row>
    <row r="54" customFormat="false" ht="15" hidden="false" customHeight="false" outlineLevel="0" collapsed="false">
      <c r="A54" s="6" t="s">
        <v>72</v>
      </c>
      <c r="B54" s="10" t="s">
        <v>73</v>
      </c>
    </row>
    <row r="55" customFormat="false" ht="15" hidden="false" customHeight="false" outlineLevel="0" collapsed="false">
      <c r="A55" s="6" t="s">
        <v>74</v>
      </c>
      <c r="B55" s="10" t="s">
        <v>75</v>
      </c>
    </row>
    <row r="56" customFormat="false" ht="15" hidden="false" customHeight="false" outlineLevel="0" collapsed="false">
      <c r="A56" s="6" t="s">
        <v>76</v>
      </c>
      <c r="B56" s="10" t="s">
        <v>77</v>
      </c>
    </row>
    <row r="57" customFormat="false" ht="15" hidden="false" customHeight="false" outlineLevel="0" collapsed="false">
      <c r="A57" s="6" t="s">
        <v>78</v>
      </c>
      <c r="B57" s="10" t="s">
        <v>79</v>
      </c>
    </row>
    <row r="58" customFormat="false" ht="15" hidden="false" customHeight="false" outlineLevel="0" collapsed="false">
      <c r="A58" s="6" t="s">
        <v>80</v>
      </c>
      <c r="B58" s="10" t="s">
        <v>81</v>
      </c>
    </row>
    <row r="59" customFormat="false" ht="15" hidden="false" customHeight="false" outlineLevel="0" collapsed="false">
      <c r="A59" s="6" t="s">
        <v>82</v>
      </c>
      <c r="B59" s="10" t="s">
        <v>83</v>
      </c>
    </row>
    <row r="60" customFormat="false" ht="15" hidden="false" customHeight="false" outlineLevel="0" collapsed="false">
      <c r="A60" s="6" t="s">
        <v>84</v>
      </c>
      <c r="B60" s="10" t="s">
        <v>85</v>
      </c>
    </row>
    <row r="61" customFormat="false" ht="15" hidden="false" customHeight="false" outlineLevel="0" collapsed="false">
      <c r="A61" s="6" t="s">
        <v>86</v>
      </c>
      <c r="B61" s="10" t="s">
        <v>87</v>
      </c>
    </row>
    <row r="62" customFormat="false" ht="15" hidden="false" customHeight="false" outlineLevel="0" collapsed="false">
      <c r="A62" s="6" t="s">
        <v>88</v>
      </c>
      <c r="B62" s="10" t="s">
        <v>89</v>
      </c>
    </row>
    <row r="63" customFormat="false" ht="15" hidden="false" customHeight="false" outlineLevel="0" collapsed="false">
      <c r="A63" s="6" t="s">
        <v>90</v>
      </c>
      <c r="B63" s="7" t="s">
        <v>91</v>
      </c>
    </row>
    <row r="65" customFormat="false" ht="15" hidden="false" customHeight="false" outlineLevel="0" collapsed="false">
      <c r="A65" s="3" t="s">
        <v>92</v>
      </c>
      <c r="B65" s="4"/>
    </row>
    <row r="66" customFormat="false" ht="15" hidden="false" customHeight="false" outlineLevel="0" collapsed="false">
      <c r="A66" s="5" t="s">
        <v>93</v>
      </c>
      <c r="B66" s="6" t="s">
        <v>94</v>
      </c>
    </row>
    <row r="67" customFormat="false" ht="15" hidden="false" customHeight="false" outlineLevel="0" collapsed="false">
      <c r="A67" s="5" t="s">
        <v>95</v>
      </c>
      <c r="B67" s="6" t="s">
        <v>96</v>
      </c>
    </row>
    <row r="68" customFormat="false" ht="15" hidden="false" customHeight="false" outlineLevel="0" collapsed="false">
      <c r="A68" s="5" t="s">
        <v>97</v>
      </c>
      <c r="B68" s="6" t="s">
        <v>98</v>
      </c>
    </row>
  </sheetData>
  <hyperlinks>
    <hyperlink ref="B48" r:id="rId1" display="https://www.trustified.in/passandfail"/>
    <hyperlink ref="B49" r:id="rId2" display="https://www.trustified.in/nmr-reports"/>
    <hyperlink ref="B50" r:id="rId3" display="https://www.trustified.in/nut-butters"/>
    <hyperlink ref="B51" r:id="rId4" display="https://www.trustified.in/proteinbar"/>
    <hyperlink ref="B52" r:id="rId5" display="https://www.trustified.in/dark-chocolate"/>
    <hyperlink ref="B53" r:id="rId6" display="https://www.trustified.in/items/breakfastcereals"/>
    <hyperlink ref="B54" r:id="rId7" display="https://twtprotein.notion.site/Protein-Lab-Test-Reports-1d0fae391f3f4c8f9f398306890cedff"/>
    <hyperlink ref="B55" r:id="rId8" display="https://www.unboxhealth.in/explore"/>
    <hyperlink ref="B56" r:id="rId9" display="https://www.newsbytesapp.com/news/business/chips-colas-condoms-rule-shopping-carts-on-quick-commerce-platforms/story"/>
    <hyperlink ref="B57" r:id="rId10" display="https://www.afaqs.com/news/mktg/zeptos-2025-data-maps-changing-shopping-habits-across-indian-cities-10954599"/>
    <hyperlink ref="B58" r:id="rId11" display="https://bestmediainfo.com/insights/gold-iphones-666-roses-a-minute-what-indians-ordered-on-instamart-in-2025-might-surprise-you-10930811"/>
    <hyperlink ref="B59" r:id="rId12" display="https://www.media4growth.com/showcase/campaigns/blinkit-turns-indias-shopping-data-into-year-end-ooh-humour-81597"/>
    <hyperlink ref="B60" r:id="rId13" display="https://metricscart.com/insights/protein-bars-on-zepto-vs-blinkit/"/>
    <hyperlink ref="B61" r:id="rId14" display="https://www.bloomberg.com/features/2025-India-instant-shopping/"/>
    <hyperlink ref="B62" r:id="rId15" display="https://www.ciim.in/zepto-vs-blinkit-vs-instamart-market-share-revenue-profit-a-case-study-2024-20265/"/>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S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38"/>
    <col collapsed="false" customWidth="true" hidden="false" outlineLevel="0" max="4" min="4" style="0" width="20"/>
    <col collapsed="false" customWidth="true" hidden="false" outlineLevel="0" max="5" min="5" style="0" width="15"/>
    <col collapsed="false" customWidth="true" hidden="false" outlineLevel="0" max="6" min="6" style="0" width="12"/>
    <col collapsed="false" customWidth="true" hidden="false" outlineLevel="0" max="7" min="7" style="0" width="20"/>
    <col collapsed="false" customWidth="true" hidden="false" outlineLevel="0" max="8" min="8" style="0" width="18"/>
    <col collapsed="false" customWidth="true" hidden="false" outlineLevel="0" max="9" min="9" style="0" width="20"/>
    <col collapsed="false" customWidth="true" hidden="false" outlineLevel="0" max="10" min="10" style="0" width="34"/>
    <col collapsed="false" customWidth="true" hidden="false" outlineLevel="0" max="11" min="11" style="0" width="12"/>
    <col collapsed="false" customWidth="true" hidden="false" outlineLevel="0" max="12" min="12" style="0" width="10"/>
    <col collapsed="false" customWidth="true" hidden="false" outlineLevel="0" max="13" min="13" style="0" width="9"/>
    <col collapsed="false" customWidth="true" hidden="false" outlineLevel="0" max="14" min="14" style="0" width="14"/>
    <col collapsed="false" customWidth="true" hidden="false" outlineLevel="0" max="17" min="15" style="0" width="12"/>
    <col collapsed="false" customWidth="true" hidden="false" outlineLevel="0" max="18" min="18" style="0" width="46"/>
    <col collapsed="false" customWidth="true" hidden="false" outlineLevel="0" max="19" min="19" style="0" width="12"/>
  </cols>
  <sheetData>
    <row r="1" customFormat="false" ht="21.75" hidden="false" customHeight="true" outlineLevel="0" collapsed="false">
      <c r="A1" s="1" t="s">
        <v>99</v>
      </c>
    </row>
    <row r="2" customFormat="false" ht="15" hidden="false" customHeight="false" outlineLevel="0" collapsed="false">
      <c r="A2" s="2" t="s">
        <v>100</v>
      </c>
    </row>
    <row r="4" customFormat="false" ht="43.5" hidden="false" customHeight="true" outlineLevel="0" collapsed="false">
      <c r="A4" s="11" t="s">
        <v>101</v>
      </c>
      <c r="B4" s="11" t="s">
        <v>102</v>
      </c>
      <c r="C4" s="11" t="s">
        <v>103</v>
      </c>
      <c r="D4" s="11" t="s">
        <v>104</v>
      </c>
      <c r="E4" s="11" t="s">
        <v>35</v>
      </c>
      <c r="F4" s="11" t="s">
        <v>105</v>
      </c>
      <c r="G4" s="11" t="s">
        <v>106</v>
      </c>
      <c r="H4" s="11" t="s">
        <v>107</v>
      </c>
      <c r="I4" s="11" t="s">
        <v>108</v>
      </c>
      <c r="J4" s="11" t="s">
        <v>109</v>
      </c>
      <c r="K4" s="11" t="s">
        <v>31</v>
      </c>
      <c r="L4" s="11" t="s">
        <v>110</v>
      </c>
      <c r="M4" s="11" t="s">
        <v>111</v>
      </c>
      <c r="N4" s="11" t="s">
        <v>29</v>
      </c>
      <c r="O4" s="11" t="s">
        <v>112</v>
      </c>
      <c r="P4" s="11" t="s">
        <v>113</v>
      </c>
      <c r="Q4" s="11" t="s">
        <v>114</v>
      </c>
      <c r="R4" s="11" t="s">
        <v>115</v>
      </c>
      <c r="S4" s="11" t="s">
        <v>116</v>
      </c>
    </row>
    <row r="5" customFormat="false" ht="23.85" hidden="false" customHeight="false" outlineLevel="0" collapsed="false">
      <c r="A5" s="12" t="n">
        <v>1</v>
      </c>
      <c r="B5" s="6" t="str">
        <f aca="false">IF($S5="","",INDEX('All reports'!$B$5:$B$249,$S5))</f>
        <v>Mother Dairy</v>
      </c>
      <c r="C5" s="6" t="str">
        <f aca="false">IF($S5="","",INDEX('All reports'!$C$5:$C$249,$S5))</f>
        <v>Cow Milk</v>
      </c>
      <c r="D5" s="7" t="str">
        <f aca="false">IF($S5="","",INDEX('All reports'!$E$5:$E$249,$S5))</f>
        <v>Milk</v>
      </c>
      <c r="E5" s="12" t="str">
        <f aca="false">IF($S5="","",INDEX('All reports'!$F$5:$F$249,$S5))</f>
        <v>Failed</v>
      </c>
      <c r="F5" s="13" t="n">
        <f aca="false">IF($S5="","",IF(INDEX('All reports'!$G$5:$G$249,$S5)="","",INDEX('All reports'!$G$5:$G$249,$S5)))</f>
        <v>46061</v>
      </c>
      <c r="G5" s="6" t="str">
        <f aca="false">IF($S5="","",INDEX('All reports'!$I$5:$I$249,$S5))</f>
        <v>Eurofins</v>
      </c>
      <c r="H5" s="7" t="str">
        <f aca="false">IF($S5="","",IF(INDEX('All reports'!$H$5:$H$249,$S5)="","",INDEX('All reports'!$H$5:$H$249,$S5)))</f>
        <v>(05)05NOV25SZ5M</v>
      </c>
      <c r="I5" s="7" t="str">
        <f aca="false">IF($S5="","",INDEX('All reports'!$J$5:$J$249,$S5))</f>
        <v>Trustified Pass/Fail</v>
      </c>
      <c r="J5" s="6" t="str">
        <f aca="false">IF($S5="","",SUBSTITUTE(TRIM(IF(INDEX('All reports'!$O$5:$O$249,$S5)="Y","Blinkit",IF(INDEX('All reports'!$O$5:$O$249,$S5)="?","Blinkit?",""))&amp;" "&amp;IF(INDEX('All reports'!$P$5:$P$249,$S5)="Y","Zepto",IF(INDEX('All reports'!$P$5:$P$249,$S5)="?","Zepto?",""))&amp;" "&amp;IF(INDEX('All reports'!$Q$5:$Q$249,$S5)="Y","Instamart",IF(INDEX('All reports'!$Q$5:$Q$249,$S5)="?","Instamart?",""))&amp;" "&amp;IF(INDEX('All reports'!$R$5:$R$249,$S5)="Y","BigBasket",IF(INDEX('All reports'!$R$5:$R$249,$S5)="?","BigBasket?","")))," "," · "))</f>
        <v>Blinkit · Zepto · Instamart · BigBasket</v>
      </c>
      <c r="K5" s="14" t="n">
        <f aca="false">IF($S5="","",INDEX('All reports'!$T$5:$T$249,$S5))</f>
        <v>302321</v>
      </c>
      <c r="L5" s="12" t="n">
        <f aca="false">IF($S5="","",INDEX('All reports'!$U$5:$U$249,$S5))</f>
        <v>3</v>
      </c>
      <c r="M5" s="15" t="n">
        <f aca="false">IF($S5="","",INDEX('All reports'!$Y$5:$Y$249,$S5))</f>
        <v>14</v>
      </c>
      <c r="N5" s="12" t="str">
        <f aca="false">IF($S5="","",IF(INDEX('All reports'!$N$5:$N$249,$S5)="","",INDEX('All reports'!$N$5:$N$249,$S5)))</f>
        <v>Exact</v>
      </c>
      <c r="O5" s="12" t="n">
        <f aca="false">IF($S5="","",COUNTIF('All reports'!$M$5:$M$249,INDEX('All reports'!$M$5:$M$249,$S5))-1)</f>
        <v>0</v>
      </c>
      <c r="P5" s="16" t="str">
        <f aca="false">IFERROR(HYPERLINK(INDEX('All reports'!$L$5:$L$249,$S5),"Open report"),"")</f>
        <v>Open report</v>
      </c>
      <c r="Q5" s="16" t="str">
        <f aca="false">IFERROR(HYPERLINK(INDEX('QC listings'!$H$5:$H$200,MATCH(INDEX('All reports'!$M$5:$M$249,$S5),'QC listings'!$A$5:$A$200,0)),"Open listing"),"")</f>
        <v>Open listing</v>
      </c>
      <c r="R5" s="6" t="str">
        <f aca="false">IF($S5="","",INDEX('All reports'!$AC$5:$AC$249,$S5))</f>
        <v>Link out; licence needed to display; run the PRD publication gate first (negative verdict)</v>
      </c>
      <c r="S5" s="17" t="n">
        <f aca="false">IFERROR(MATCH($A5,'All reports'!$AA$5:$AA$249,0),"")</f>
        <v>5</v>
      </c>
    </row>
    <row r="6" customFormat="false" ht="23.85" hidden="false" customHeight="false" outlineLevel="0" collapsed="false">
      <c r="A6" s="12" t="n">
        <v>2</v>
      </c>
      <c r="B6" s="6" t="str">
        <f aca="false">IF($S6="","",INDEX('All reports'!$B$5:$B$249,$S6))</f>
        <v>Amul</v>
      </c>
      <c r="C6" s="6" t="str">
        <f aca="false">IF($S6="","",INDEX('All reports'!$C$5:$C$249,$S6))</f>
        <v>Gold Milk</v>
      </c>
      <c r="D6" s="7" t="str">
        <f aca="false">IF($S6="","",INDEX('All reports'!$E$5:$E$249,$S6))</f>
        <v>Milk</v>
      </c>
      <c r="E6" s="12" t="str">
        <f aca="false">IF($S6="","",INDEX('All reports'!$F$5:$F$249,$S6))</f>
        <v>Failed</v>
      </c>
      <c r="F6" s="13" t="n">
        <f aca="false">IF($S6="","",IF(INDEX('All reports'!$G$5:$G$249,$S6)="","",INDEX('All reports'!$G$5:$G$249,$S6)))</f>
        <v>46061</v>
      </c>
      <c r="G6" s="6" t="str">
        <f aca="false">IF($S6="","",INDEX('All reports'!$I$5:$I$249,$S6))</f>
        <v>Eurofins</v>
      </c>
      <c r="H6" s="7" t="str">
        <f aca="false">IF($S6="","",IF(INDEX('All reports'!$H$5:$H$249,$S6)="","",INDEX('All reports'!$H$5:$H$249,$S6)))</f>
        <v>SR26DM</v>
      </c>
      <c r="I6" s="7" t="str">
        <f aca="false">IF($S6="","",INDEX('All reports'!$J$5:$J$249,$S6))</f>
        <v>Trustified Pass/Fail</v>
      </c>
      <c r="J6" s="6" t="str">
        <f aca="false">IF($S6="","",SUBSTITUTE(TRIM(IF(INDEX('All reports'!$O$5:$O$249,$S6)="Y","Blinkit",IF(INDEX('All reports'!$O$5:$O$249,$S6)="?","Blinkit?",""))&amp;" "&amp;IF(INDEX('All reports'!$P$5:$P$249,$S6)="Y","Zepto",IF(INDEX('All reports'!$P$5:$P$249,$S6)="?","Zepto?",""))&amp;" "&amp;IF(INDEX('All reports'!$Q$5:$Q$249,$S6)="Y","Instamart",IF(INDEX('All reports'!$Q$5:$Q$249,$S6)="?","Instamart?",""))&amp;" "&amp;IF(INDEX('All reports'!$R$5:$R$249,$S6)="Y","BigBasket",IF(INDEX('All reports'!$R$5:$R$249,$S6)="?","BigBasket?","")))," "," · "))</f>
        <v>Blinkit · Zepto · BigBasket</v>
      </c>
      <c r="K6" s="14" t="n">
        <f aca="false">IF($S6="","",INDEX('All reports'!$T$5:$T$249,$S6))</f>
        <v>1581833</v>
      </c>
      <c r="L6" s="12" t="n">
        <f aca="false">IF($S6="","",INDEX('All reports'!$U$5:$U$249,$S6))</f>
        <v>3</v>
      </c>
      <c r="M6" s="15" t="n">
        <f aca="false">IF($S6="","",INDEX('All reports'!$Y$5:$Y$249,$S6))</f>
        <v>13</v>
      </c>
      <c r="N6" s="12" t="str">
        <f aca="false">IF($S6="","",IF(INDEX('All reports'!$N$5:$N$249,$S6)="","",INDEX('All reports'!$N$5:$N$249,$S6)))</f>
        <v>Exact</v>
      </c>
      <c r="O6" s="12" t="n">
        <f aca="false">IF($S6="","",COUNTIF('All reports'!$M$5:$M$249,INDEX('All reports'!$M$5:$M$249,$S6))-1)</f>
        <v>0</v>
      </c>
      <c r="P6" s="16" t="str">
        <f aca="false">IFERROR(HYPERLINK(INDEX('All reports'!$L$5:$L$249,$S6),"Open report"),"")</f>
        <v>Open report</v>
      </c>
      <c r="Q6" s="16" t="str">
        <f aca="false">IFERROR(HYPERLINK(INDEX('QC listings'!$H$5:$H$200,MATCH(INDEX('All reports'!$M$5:$M$249,$S6),'QC listings'!$A$5:$A$200,0)),"Open listing"),"")</f>
        <v>Open listing</v>
      </c>
      <c r="R6" s="6" t="str">
        <f aca="false">IF($S6="","",INDEX('All reports'!$AC$5:$AC$249,$S6))</f>
        <v>Link out; licence needed to display; run the PRD publication gate first (negative verdict)</v>
      </c>
      <c r="S6" s="17" t="n">
        <f aca="false">IFERROR(MATCH($A6,'All reports'!$AA$5:$AA$249,0),"")</f>
        <v>1</v>
      </c>
    </row>
    <row r="7" customFormat="false" ht="23.85" hidden="false" customHeight="false" outlineLevel="0" collapsed="false">
      <c r="A7" s="12" t="n">
        <v>3</v>
      </c>
      <c r="B7" s="6" t="str">
        <f aca="false">IF($S7="","",INDEX('All reports'!$B$5:$B$249,$S7))</f>
        <v>Amul</v>
      </c>
      <c r="C7" s="6" t="str">
        <f aca="false">IF($S7="","",INDEX('All reports'!$C$5:$C$249,$S7))</f>
        <v>Taaza Homogenised Toned Milk</v>
      </c>
      <c r="D7" s="7" t="str">
        <f aca="false">IF($S7="","",INDEX('All reports'!$E$5:$E$249,$S7))</f>
        <v>Milk</v>
      </c>
      <c r="E7" s="12" t="str">
        <f aca="false">IF($S7="","",INDEX('All reports'!$F$5:$F$249,$S7))</f>
        <v>Passed</v>
      </c>
      <c r="F7" s="13" t="n">
        <f aca="false">IF($S7="","",IF(INDEX('All reports'!$G$5:$G$249,$S7)="","",INDEX('All reports'!$G$5:$G$249,$S7)))</f>
        <v>46061</v>
      </c>
      <c r="G7" s="6" t="str">
        <f aca="false">IF($S7="","",INDEX('All reports'!$I$5:$I$249,$S7))</f>
        <v>Eurofins</v>
      </c>
      <c r="H7" s="7" t="str">
        <f aca="false">IF($S7="","",IF(INDEX('All reports'!$H$5:$H$249,$S7)="","",INDEX('All reports'!$H$5:$H$249,$S7)))</f>
        <v>MAC2691</v>
      </c>
      <c r="I7" s="7" t="str">
        <f aca="false">IF($S7="","",INDEX('All reports'!$J$5:$J$249,$S7))</f>
        <v>Trustified Pass/Fail</v>
      </c>
      <c r="J7" s="6" t="str">
        <f aca="false">IF($S7="","",SUBSTITUTE(TRIM(IF(INDEX('All reports'!$O$5:$O$249,$S7)="Y","Blinkit",IF(INDEX('All reports'!$O$5:$O$249,$S7)="?","Blinkit?",""))&amp;" "&amp;IF(INDEX('All reports'!$P$5:$P$249,$S7)="Y","Zepto",IF(INDEX('All reports'!$P$5:$P$249,$S7)="?","Zepto?",""))&amp;" "&amp;IF(INDEX('All reports'!$Q$5:$Q$249,$S7)="Y","Instamart",IF(INDEX('All reports'!$Q$5:$Q$249,$S7)="?","Instamart?",""))&amp;" "&amp;IF(INDEX('All reports'!$R$5:$R$249,$S7)="Y","BigBasket",IF(INDEX('All reports'!$R$5:$R$249,$S7)="?","BigBasket?","")))," "," · "))</f>
        <v>Blinkit · Zepto · BigBasket</v>
      </c>
      <c r="K7" s="14" t="n">
        <f aca="false">IF($S7="","",INDEX('All reports'!$T$5:$T$249,$S7))</f>
        <v>1214721</v>
      </c>
      <c r="L7" s="12" t="n">
        <f aca="false">IF($S7="","",INDEX('All reports'!$U$5:$U$249,$S7))</f>
        <v>3</v>
      </c>
      <c r="M7" s="15" t="n">
        <f aca="false">IF($S7="","",INDEX('All reports'!$Y$5:$Y$249,$S7))</f>
        <v>13</v>
      </c>
      <c r="N7" s="12" t="str">
        <f aca="false">IF($S7="","",IF(INDEX('All reports'!$N$5:$N$249,$S7)="","",INDEX('All reports'!$N$5:$N$249,$S7)))</f>
        <v>Exact</v>
      </c>
      <c r="O7" s="12" t="n">
        <f aca="false">IF($S7="","",COUNTIF('All reports'!$M$5:$M$249,INDEX('All reports'!$M$5:$M$249,$S7))-1)</f>
        <v>0</v>
      </c>
      <c r="P7" s="16" t="str">
        <f aca="false">IFERROR(HYPERLINK(INDEX('All reports'!$L$5:$L$249,$S7),"Open report"),"")</f>
        <v>Open report</v>
      </c>
      <c r="Q7" s="16" t="str">
        <f aca="false">IFERROR(HYPERLINK(INDEX('QC listings'!$H$5:$H$200,MATCH(INDEX('All reports'!$M$5:$M$249,$S7),'QC listings'!$A$5:$A$200,0)),"Open listing"),"")</f>
        <v>Open listing</v>
      </c>
      <c r="R7" s="6" t="str">
        <f aca="false">IF($S7="","",INDEX('All reports'!$AC$5:$AC$249,$S7))</f>
        <v>Link out; Trustified's written licence needed to display the report</v>
      </c>
      <c r="S7" s="17" t="n">
        <f aca="false">IFERROR(MATCH($A7,'All reports'!$AA$5:$AA$249,0),"")</f>
        <v>2</v>
      </c>
    </row>
    <row r="8" customFormat="false" ht="23.85" hidden="false" customHeight="false" outlineLevel="0" collapsed="false">
      <c r="A8" s="12" t="n">
        <v>4</v>
      </c>
      <c r="B8" s="6" t="str">
        <f aca="false">IF($S8="","",INDEX('All reports'!$B$5:$B$249,$S8))</f>
        <v>Amul</v>
      </c>
      <c r="C8" s="6" t="str">
        <f aca="false">IF($S8="","",INDEX('All reports'!$C$5:$C$249,$S8))</f>
        <v>Masti Dahi Cup</v>
      </c>
      <c r="D8" s="7" t="str">
        <f aca="false">IF($S8="","",INDEX('All reports'!$E$5:$E$249,$S8))</f>
        <v>Curd &amp; yoghurt</v>
      </c>
      <c r="E8" s="12" t="str">
        <f aca="false">IF($S8="","",INDEX('All reports'!$F$5:$F$249,$S8))</f>
        <v>Passed</v>
      </c>
      <c r="F8" s="13" t="n">
        <f aca="false">IF($S8="","",IF(INDEX('All reports'!$G$5:$G$249,$S8)="","",INDEX('All reports'!$G$5:$G$249,$S8)))</f>
        <v>46026</v>
      </c>
      <c r="G8" s="6" t="str">
        <f aca="false">IF($S8="","",INDEX('All reports'!$I$5:$I$249,$S8))</f>
        <v>Eurofins</v>
      </c>
      <c r="H8" s="7" t="str">
        <f aca="false">IF($S8="","",IF(INDEX('All reports'!$H$5:$H$249,$S8)="","",INDEX('All reports'!$H$5:$H$249,$S8)))</f>
        <v>MPC 338/01</v>
      </c>
      <c r="I8" s="7" t="str">
        <f aca="false">IF($S8="","",INDEX('All reports'!$J$5:$J$249,$S8))</f>
        <v>Trustified Pass/Fail</v>
      </c>
      <c r="J8" s="6" t="str">
        <f aca="false">IF($S8="","",SUBSTITUTE(TRIM(IF(INDEX('All reports'!$O$5:$O$249,$S8)="Y","Blinkit",IF(INDEX('All reports'!$O$5:$O$249,$S8)="?","Blinkit?",""))&amp;" "&amp;IF(INDEX('All reports'!$P$5:$P$249,$S8)="Y","Zepto",IF(INDEX('All reports'!$P$5:$P$249,$S8)="?","Zepto?",""))&amp;" "&amp;IF(INDEX('All reports'!$Q$5:$Q$249,$S8)="Y","Instamart",IF(INDEX('All reports'!$Q$5:$Q$249,$S8)="?","Instamart?",""))&amp;" "&amp;IF(INDEX('All reports'!$R$5:$R$249,$S8)="Y","BigBasket",IF(INDEX('All reports'!$R$5:$R$249,$S8)="?","BigBasket?","")))," "," · "))</f>
        <v>Zepto · BigBasket</v>
      </c>
      <c r="K8" s="14" t="n">
        <f aca="false">IF($S8="","",INDEX('All reports'!$T$5:$T$249,$S8))</f>
        <v>103152</v>
      </c>
      <c r="L8" s="12" t="n">
        <f aca="false">IF($S8="","",INDEX('All reports'!$U$5:$U$249,$S8))</f>
        <v>3</v>
      </c>
      <c r="M8" s="15" t="n">
        <f aca="false">IF($S8="","",INDEX('All reports'!$Y$5:$Y$249,$S8))</f>
        <v>12</v>
      </c>
      <c r="N8" s="12" t="str">
        <f aca="false">IF($S8="","",IF(INDEX('All reports'!$N$5:$N$249,$S8)="","",INDEX('All reports'!$N$5:$N$249,$S8)))</f>
        <v>Exact</v>
      </c>
      <c r="O8" s="12" t="n">
        <f aca="false">IF($S8="","",COUNTIF('All reports'!$M$5:$M$249,INDEX('All reports'!$M$5:$M$249,$S8))-1)</f>
        <v>0</v>
      </c>
      <c r="P8" s="16" t="str">
        <f aca="false">IFERROR(HYPERLINK(INDEX('All reports'!$L$5:$L$249,$S8),"Open report"),"")</f>
        <v>Open report</v>
      </c>
      <c r="Q8" s="16" t="str">
        <f aca="false">IFERROR(HYPERLINK(INDEX('QC listings'!$H$5:$H$200,MATCH(INDEX('All reports'!$M$5:$M$249,$S8),'QC listings'!$A$5:$A$200,0)),"Open listing"),"")</f>
        <v>Open listing</v>
      </c>
      <c r="R8" s="6" t="str">
        <f aca="false">IF($S8="","",INDEX('All reports'!$AC$5:$AC$249,$S8))</f>
        <v>Link out; Trustified's written licence needed to display the report</v>
      </c>
      <c r="S8" s="17" t="n">
        <f aca="false">IFERROR(MATCH($A8,'All reports'!$AA$5:$AA$249,0),"")</f>
        <v>7</v>
      </c>
    </row>
    <row r="9" customFormat="false" ht="23.85" hidden="false" customHeight="false" outlineLevel="0" collapsed="false">
      <c r="A9" s="12" t="n">
        <v>5</v>
      </c>
      <c r="B9" s="6" t="str">
        <f aca="false">IF($S9="","",INDEX('All reports'!$B$5:$B$249,$S9))</f>
        <v>Amul</v>
      </c>
      <c r="C9" s="6" t="str">
        <f aca="false">IF($S9="","",INDEX('All reports'!$C$5:$C$249,$S9))</f>
        <v>Masti Dahi</v>
      </c>
      <c r="D9" s="7" t="str">
        <f aca="false">IF($S9="","",INDEX('All reports'!$E$5:$E$249,$S9))</f>
        <v>Curd &amp; yoghurt</v>
      </c>
      <c r="E9" s="12" t="str">
        <f aca="false">IF($S9="","",INDEX('All reports'!$F$5:$F$249,$S9))</f>
        <v>Failed</v>
      </c>
      <c r="F9" s="13" t="n">
        <f aca="false">IF($S9="","",IF(INDEX('All reports'!$G$5:$G$249,$S9)="","",INDEX('All reports'!$G$5:$G$249,$S9)))</f>
        <v>46026</v>
      </c>
      <c r="G9" s="6" t="str">
        <f aca="false">IF($S9="","",INDEX('All reports'!$I$5:$I$249,$S9))</f>
        <v>Eurofins</v>
      </c>
      <c r="H9" s="7" t="str">
        <f aca="false">IF($S9="","",IF(INDEX('All reports'!$H$5:$H$249,$S9)="","",INDEX('All reports'!$H$5:$H$249,$S9)))</f>
        <v>SR04CM</v>
      </c>
      <c r="I9" s="7" t="str">
        <f aca="false">IF($S9="","",INDEX('All reports'!$J$5:$J$249,$S9))</f>
        <v>Trustified Pass/Fail</v>
      </c>
      <c r="J9" s="6" t="str">
        <f aca="false">IF($S9="","",SUBSTITUTE(TRIM(IF(INDEX('All reports'!$O$5:$O$249,$S9)="Y","Blinkit",IF(INDEX('All reports'!$O$5:$O$249,$S9)="?","Blinkit?",""))&amp;" "&amp;IF(INDEX('All reports'!$P$5:$P$249,$S9)="Y","Zepto",IF(INDEX('All reports'!$P$5:$P$249,$S9)="?","Zepto?",""))&amp;" "&amp;IF(INDEX('All reports'!$Q$5:$Q$249,$S9)="Y","Instamart",IF(INDEX('All reports'!$Q$5:$Q$249,$S9)="?","Instamart?",""))&amp;" "&amp;IF(INDEX('All reports'!$R$5:$R$249,$S9)="Y","BigBasket",IF(INDEX('All reports'!$R$5:$R$249,$S9)="?","BigBasket?","")))," "," · "))</f>
        <v>Blinkit</v>
      </c>
      <c r="K9" s="14" t="n">
        <f aca="false">IF($S9="","",INDEX('All reports'!$T$5:$T$249,$S9))</f>
        <v>660000</v>
      </c>
      <c r="L9" s="12" t="n">
        <f aca="false">IF($S9="","",INDEX('All reports'!$U$5:$U$249,$S9))</f>
        <v>3</v>
      </c>
      <c r="M9" s="15" t="n">
        <f aca="false">IF($S9="","",INDEX('All reports'!$Y$5:$Y$249,$S9))</f>
        <v>11</v>
      </c>
      <c r="N9" s="12" t="str">
        <f aca="false">IF($S9="","",IF(INDEX('All reports'!$N$5:$N$249,$S9)="","",INDEX('All reports'!$N$5:$N$249,$S9)))</f>
        <v>Exact</v>
      </c>
      <c r="O9" s="12" t="n">
        <f aca="false">IF($S9="","",COUNTIF('All reports'!$M$5:$M$249,INDEX('All reports'!$M$5:$M$249,$S9))-1)</f>
        <v>0</v>
      </c>
      <c r="P9" s="16" t="str">
        <f aca="false">IFERROR(HYPERLINK(INDEX('All reports'!$L$5:$L$249,$S9),"Open report"),"")</f>
        <v>Open report</v>
      </c>
      <c r="Q9" s="16" t="str">
        <f aca="false">IFERROR(HYPERLINK(INDEX('QC listings'!$H$5:$H$200,MATCH(INDEX('All reports'!$M$5:$M$249,$S9),'QC listings'!$A$5:$A$200,0)),"Open listing"),"")</f>
        <v>Open listing</v>
      </c>
      <c r="R9" s="6" t="str">
        <f aca="false">IF($S9="","",INDEX('All reports'!$AC$5:$AC$249,$S9))</f>
        <v>Link out; licence needed to display; run the PRD publication gate first (negative verdict)</v>
      </c>
      <c r="S9" s="17" t="n">
        <f aca="false">IFERROR(MATCH($A9,'All reports'!$AA$5:$AA$249,0),"")</f>
        <v>6</v>
      </c>
    </row>
    <row r="10" customFormat="false" ht="23.85" hidden="false" customHeight="false" outlineLevel="0" collapsed="false">
      <c r="A10" s="12" t="n">
        <v>6</v>
      </c>
      <c r="B10" s="6" t="str">
        <f aca="false">IF($S10="","",INDEX('All reports'!$B$5:$B$249,$S10))</f>
        <v>Tata</v>
      </c>
      <c r="C10" s="6" t="str">
        <f aca="false">IF($S10="","",INDEX('All reports'!$C$5:$C$249,$S10))</f>
        <v>Tata Salt</v>
      </c>
      <c r="D10" s="7" t="str">
        <f aca="false">IF($S10="","",INDEX('All reports'!$E$5:$E$249,$S10))</f>
        <v>Atta, rice &amp; salt</v>
      </c>
      <c r="E10" s="12" t="str">
        <f aca="false">IF($S10="","",INDEX('All reports'!$F$5:$F$249,$S10))</f>
        <v>Passed</v>
      </c>
      <c r="F10" s="13" t="n">
        <f aca="false">IF($S10="","",IF(INDEX('All reports'!$G$5:$G$249,$S10)="","",INDEX('All reports'!$G$5:$G$249,$S10)))</f>
        <v>45984</v>
      </c>
      <c r="G10" s="6" t="str">
        <f aca="false">IF($S10="","",INDEX('All reports'!$I$5:$I$249,$S10))</f>
        <v>Eurofins</v>
      </c>
      <c r="H10" s="7" t="str">
        <f aca="false">IF($S10="","",IF(INDEX('All reports'!$H$5:$H$249,$S10)="","",INDEX('All reports'!$H$5:$H$249,$S10)))</f>
        <v>PU</v>
      </c>
      <c r="I10" s="7" t="str">
        <f aca="false">IF($S10="","",INDEX('All reports'!$J$5:$J$249,$S10))</f>
        <v>Trustified Pass/Fail</v>
      </c>
      <c r="J10" s="6" t="str">
        <f aca="false">IF($S10="","",SUBSTITUTE(TRIM(IF(INDEX('All reports'!$O$5:$O$249,$S10)="Y","Blinkit",IF(INDEX('All reports'!$O$5:$O$249,$S10)="?","Blinkit?",""))&amp;" "&amp;IF(INDEX('All reports'!$P$5:$P$249,$S10)="Y","Zepto",IF(INDEX('All reports'!$P$5:$P$249,$S10)="?","Zepto?",""))&amp;" "&amp;IF(INDEX('All reports'!$Q$5:$Q$249,$S10)="Y","Instamart",IF(INDEX('All reports'!$Q$5:$Q$249,$S10)="?","Instamart?",""))&amp;" "&amp;IF(INDEX('All reports'!$R$5:$R$249,$S10)="Y","BigBasket",IF(INDEX('All reports'!$R$5:$R$249,$S10)="?","BigBasket?","")))," "," · "))</f>
        <v>Blinkit · Zepto · Instamart</v>
      </c>
      <c r="K10" s="14" t="n">
        <f aca="false">IF($S10="","",INDEX('All reports'!$T$5:$T$249,$S10))</f>
        <v>496464</v>
      </c>
      <c r="L10" s="12" t="n">
        <f aca="false">IF($S10="","",INDEX('All reports'!$U$5:$U$249,$S10))</f>
        <v>3</v>
      </c>
      <c r="M10" s="15" t="n">
        <f aca="false">IF($S10="","",INDEX('All reports'!$Y$5:$Y$249,$S10))</f>
        <v>11</v>
      </c>
      <c r="N10" s="12" t="str">
        <f aca="false">IF($S10="","",IF(INDEX('All reports'!$N$5:$N$249,$S10)="","",INDEX('All reports'!$N$5:$N$249,$S10)))</f>
        <v>Exact</v>
      </c>
      <c r="O10" s="12" t="n">
        <f aca="false">IF($S10="","",COUNTIF('All reports'!$M$5:$M$249,INDEX('All reports'!$M$5:$M$249,$S10))-1)</f>
        <v>0</v>
      </c>
      <c r="P10" s="16" t="str">
        <f aca="false">IFERROR(HYPERLINK(INDEX('All reports'!$L$5:$L$249,$S10),"Open report"),"")</f>
        <v>Open report</v>
      </c>
      <c r="Q10" s="16" t="str">
        <f aca="false">IFERROR(HYPERLINK(INDEX('QC listings'!$H$5:$H$200,MATCH(INDEX('All reports'!$M$5:$M$249,$S10),'QC listings'!$A$5:$A$200,0)),"Open listing"),"")</f>
        <v>Open listing</v>
      </c>
      <c r="R10" s="6" t="str">
        <f aca="false">IF($S10="","",INDEX('All reports'!$AC$5:$AC$249,$S10))</f>
        <v>Link out; Trustified's written licence needed to display the report</v>
      </c>
      <c r="S10" s="17" t="n">
        <f aca="false">IFERROR(MATCH($A10,'All reports'!$AA$5:$AA$249,0),"")</f>
        <v>36</v>
      </c>
    </row>
    <row r="11" customFormat="false" ht="23.85" hidden="false" customHeight="false" outlineLevel="0" collapsed="false">
      <c r="A11" s="12" t="n">
        <v>7</v>
      </c>
      <c r="B11" s="6" t="str">
        <f aca="false">IF($S11="","",INDEX('All reports'!$B$5:$B$249,$S11))</f>
        <v>Haldiram's</v>
      </c>
      <c r="C11" s="6" t="str">
        <f aca="false">IF($S11="","",INDEX('All reports'!$C$5:$C$249,$S11))</f>
        <v>Salted Peanuts</v>
      </c>
      <c r="D11" s="7" t="str">
        <f aca="false">IF($S11="","",INDEX('All reports'!$E$5:$E$249,$S11))</f>
        <v>Packaged snacks</v>
      </c>
      <c r="E11" s="12" t="str">
        <f aca="false">IF($S11="","",INDEX('All reports'!$F$5:$F$249,$S11))</f>
        <v>Passed</v>
      </c>
      <c r="F11" s="13" t="n">
        <f aca="false">IF($S11="","",IF(INDEX('All reports'!$G$5:$G$249,$S11)="","",INDEX('All reports'!$G$5:$G$249,$S11)))</f>
        <v>45764</v>
      </c>
      <c r="G11" s="6" t="str">
        <f aca="false">IF($S11="","",INDEX('All reports'!$I$5:$I$249,$S11))</f>
        <v>Eurofins</v>
      </c>
      <c r="H11" s="7" t="str">
        <f aca="false">IF($S11="","",IF(INDEX('All reports'!$H$5:$H$249,$S11)="","",INDEX('All reports'!$H$5:$H$249,$S11)))</f>
        <v>24018</v>
      </c>
      <c r="I11" s="7" t="str">
        <f aca="false">IF($S11="","",INDEX('All reports'!$J$5:$J$249,$S11))</f>
        <v>Trustified Pass/Fail</v>
      </c>
      <c r="J11" s="6" t="str">
        <f aca="false">IF($S11="","",SUBSTITUTE(TRIM(IF(INDEX('All reports'!$O$5:$O$249,$S11)="Y","Blinkit",IF(INDEX('All reports'!$O$5:$O$249,$S11)="?","Blinkit?",""))&amp;" "&amp;IF(INDEX('All reports'!$P$5:$P$249,$S11)="Y","Zepto",IF(INDEX('All reports'!$P$5:$P$249,$S11)="?","Zepto?",""))&amp;" "&amp;IF(INDEX('All reports'!$Q$5:$Q$249,$S11)="Y","Instamart",IF(INDEX('All reports'!$Q$5:$Q$249,$S11)="?","Instamart?",""))&amp;" "&amp;IF(INDEX('All reports'!$R$5:$R$249,$S11)="Y","BigBasket",IF(INDEX('All reports'!$R$5:$R$249,$S11)="?","BigBasket?","")))," "," · "))</f>
        <v>Blinkit · Zepto · Instamart · BigBasket</v>
      </c>
      <c r="K11" s="14" t="n">
        <f aca="false">IF($S11="","",INDEX('All reports'!$T$5:$T$249,$S11))</f>
        <v>38843</v>
      </c>
      <c r="L11" s="12" t="n">
        <f aca="false">IF($S11="","",INDEX('All reports'!$U$5:$U$249,$S11))</f>
        <v>2</v>
      </c>
      <c r="M11" s="15" t="n">
        <f aca="false">IF($S11="","",INDEX('All reports'!$Y$5:$Y$249,$S11))</f>
        <v>11</v>
      </c>
      <c r="N11" s="12" t="str">
        <f aca="false">IF($S11="","",IF(INDEX('All reports'!$N$5:$N$249,$S11)="","",INDEX('All reports'!$N$5:$N$249,$S11)))</f>
        <v>Exact</v>
      </c>
      <c r="O11" s="12" t="n">
        <f aca="false">IF($S11="","",COUNTIF('All reports'!$M$5:$M$249,INDEX('All reports'!$M$5:$M$249,$S11))-1)</f>
        <v>0</v>
      </c>
      <c r="P11" s="16" t="str">
        <f aca="false">IFERROR(HYPERLINK(INDEX('All reports'!$L$5:$L$249,$S11),"Open report"),"")</f>
        <v>Open report</v>
      </c>
      <c r="Q11" s="16" t="str">
        <f aca="false">IFERROR(HYPERLINK(INDEX('QC listings'!$H$5:$H$200,MATCH(INDEX('All reports'!$M$5:$M$249,$S11),'QC listings'!$A$5:$A$200,0)),"Open listing"),"")</f>
        <v>Open listing</v>
      </c>
      <c r="R11" s="6" t="str">
        <f aca="false">IF($S11="","",INDEX('All reports'!$AC$5:$AC$249,$S11))</f>
        <v>Link out; Trustified's written licence needed to display the report</v>
      </c>
      <c r="S11" s="17" t="n">
        <f aca="false">IFERROR(MATCH($A11,'All reports'!$AA$5:$AA$249,0),"")</f>
        <v>11</v>
      </c>
    </row>
    <row r="12" customFormat="false" ht="23.85" hidden="false" customHeight="false" outlineLevel="0" collapsed="false">
      <c r="A12" s="12" t="n">
        <v>8</v>
      </c>
      <c r="B12" s="6" t="str">
        <f aca="false">IF($S12="","",INDEX('All reports'!$B$5:$B$249,$S12))</f>
        <v>Country Delight</v>
      </c>
      <c r="C12" s="6" t="str">
        <f aca="false">IF($S12="","",INDEX('All reports'!$C$5:$C$249,$S12))</f>
        <v>Cow Milk</v>
      </c>
      <c r="D12" s="7" t="str">
        <f aca="false">IF($S12="","",INDEX('All reports'!$E$5:$E$249,$S12))</f>
        <v>Milk</v>
      </c>
      <c r="E12" s="12" t="str">
        <f aca="false">IF($S12="","",INDEX('All reports'!$F$5:$F$249,$S12))</f>
        <v>Failed</v>
      </c>
      <c r="F12" s="13" t="n">
        <f aca="false">IF($S12="","",IF(INDEX('All reports'!$G$5:$G$249,$S12)="","",INDEX('All reports'!$G$5:$G$249,$S12)))</f>
        <v>46061</v>
      </c>
      <c r="G12" s="6" t="str">
        <f aca="false">IF($S12="","",INDEX('All reports'!$I$5:$I$249,$S12))</f>
        <v>Eurofins</v>
      </c>
      <c r="H12" s="7" t="str">
        <f aca="false">IF($S12="","",IF(INDEX('All reports'!$H$5:$H$249,$S12)="","",INDEX('All reports'!$H$5:$H$249,$S12)))</f>
        <v>DJCMG</v>
      </c>
      <c r="I12" s="7" t="str">
        <f aca="false">IF($S12="","",INDEX('All reports'!$J$5:$J$249,$S12))</f>
        <v>Trustified Pass/Fail</v>
      </c>
      <c r="J12" s="6" t="str">
        <f aca="false">IF($S12="","",SUBSTITUTE(TRIM(IF(INDEX('All reports'!$O$5:$O$249,$S12)="Y","Blinkit",IF(INDEX('All reports'!$O$5:$O$249,$S12)="?","Blinkit?",""))&amp;" "&amp;IF(INDEX('All reports'!$P$5:$P$249,$S12)="Y","Zepto",IF(INDEX('All reports'!$P$5:$P$249,$S12)="?","Zepto?",""))&amp;" "&amp;IF(INDEX('All reports'!$Q$5:$Q$249,$S12)="Y","Instamart",IF(INDEX('All reports'!$Q$5:$Q$249,$S12)="?","Instamart?",""))&amp;" "&amp;IF(INDEX('All reports'!$R$5:$R$249,$S12)="Y","BigBasket",IF(INDEX('All reports'!$R$5:$R$249,$S12)="?","BigBasket?","")))," "," · "))</f>
        <v>Blinkit · Zepto · Instamart</v>
      </c>
      <c r="K12" s="14" t="n">
        <f aca="false">IF($S12="","",INDEX('All reports'!$T$5:$T$249,$S12))</f>
        <v>13966</v>
      </c>
      <c r="L12" s="12" t="n">
        <f aca="false">IF($S12="","",INDEX('All reports'!$U$5:$U$249,$S12))</f>
        <v>2</v>
      </c>
      <c r="M12" s="15" t="n">
        <f aca="false">IF($S12="","",INDEX('All reports'!$Y$5:$Y$249,$S12))</f>
        <v>11</v>
      </c>
      <c r="N12" s="12" t="str">
        <f aca="false">IF($S12="","",IF(INDEX('All reports'!$N$5:$N$249,$S12)="","",INDEX('All reports'!$N$5:$N$249,$S12)))</f>
        <v>Exact</v>
      </c>
      <c r="O12" s="12" t="n">
        <f aca="false">IF($S12="","",COUNTIF('All reports'!$M$5:$M$249,INDEX('All reports'!$M$5:$M$249,$S12))-1)</f>
        <v>0</v>
      </c>
      <c r="P12" s="16" t="str">
        <f aca="false">IFERROR(HYPERLINK(INDEX('All reports'!$L$5:$L$249,$S12),"Open report"),"")</f>
        <v>Open report</v>
      </c>
      <c r="Q12" s="16" t="str">
        <f aca="false">IFERROR(HYPERLINK(INDEX('QC listings'!$H$5:$H$200,MATCH(INDEX('All reports'!$M$5:$M$249,$S12),'QC listings'!$A$5:$A$200,0)),"Open listing"),"")</f>
        <v>Open listing</v>
      </c>
      <c r="R12" s="6" t="str">
        <f aca="false">IF($S12="","",INDEX('All reports'!$AC$5:$AC$249,$S12))</f>
        <v>Link out; licence needed to display; run the PRD publication gate first (negative verdict)</v>
      </c>
      <c r="S12" s="17" t="n">
        <f aca="false">IFERROR(MATCH($A12,'All reports'!$AA$5:$AA$249,0),"")</f>
        <v>4</v>
      </c>
    </row>
    <row r="13" customFormat="false" ht="23.85" hidden="false" customHeight="false" outlineLevel="0" collapsed="false">
      <c r="A13" s="12" t="n">
        <v>9</v>
      </c>
      <c r="B13" s="6" t="str">
        <f aca="false">IF($S13="","",INDEX('All reports'!$B$5:$B$249,$S13))</f>
        <v>Maggi</v>
      </c>
      <c r="C13" s="6" t="str">
        <f aca="false">IF($S13="","",INDEX('All reports'!$C$5:$C$249,$S13))</f>
        <v>Masala-ae-Magic</v>
      </c>
      <c r="D13" s="7" t="str">
        <f aca="false">IF($S13="","",INDEX('All reports'!$E$5:$E$249,$S13))</f>
        <v>Spices &amp; masala</v>
      </c>
      <c r="E13" s="12" t="str">
        <f aca="false">IF($S13="","",INDEX('All reports'!$F$5:$F$249,$S13))</f>
        <v>Passed</v>
      </c>
      <c r="F13" s="13" t="n">
        <f aca="false">IF($S13="","",IF(INDEX('All reports'!$G$5:$G$249,$S13)="","",INDEX('All reports'!$G$5:$G$249,$S13)))</f>
        <v>46068</v>
      </c>
      <c r="G13" s="6" t="str">
        <f aca="false">IF($S13="","",INDEX('All reports'!$I$5:$I$249,$S13))</f>
        <v>Eurofins</v>
      </c>
      <c r="H13" s="7" t="str">
        <f aca="false">IF($S13="","",IF(INDEX('All reports'!$H$5:$H$249,$S13)="","",INDEX('All reports'!$H$5:$H$249,$S13)))</f>
        <v>50580455AA-M</v>
      </c>
      <c r="I13" s="7" t="str">
        <f aca="false">IF($S13="","",INDEX('All reports'!$J$5:$J$249,$S13))</f>
        <v>Trustified Pass/Fail</v>
      </c>
      <c r="J13" s="6" t="str">
        <f aca="false">IF($S13="","",SUBSTITUTE(TRIM(IF(INDEX('All reports'!$O$5:$O$249,$S13)="Y","Blinkit",IF(INDEX('All reports'!$O$5:$O$249,$S13)="?","Blinkit?",""))&amp;" "&amp;IF(INDEX('All reports'!$P$5:$P$249,$S13)="Y","Zepto",IF(INDEX('All reports'!$P$5:$P$249,$S13)="?","Zepto?",""))&amp;" "&amp;IF(INDEX('All reports'!$Q$5:$Q$249,$S13)="Y","Instamart",IF(INDEX('All reports'!$Q$5:$Q$249,$S13)="?","Instamart?",""))&amp;" "&amp;IF(INDEX('All reports'!$R$5:$R$249,$S13)="Y","BigBasket",IF(INDEX('All reports'!$R$5:$R$249,$S13)="?","BigBasket?","")))," "," · "))</f>
        <v>Blinkit · Zepto · Instamart · BigBasket</v>
      </c>
      <c r="K13" s="14" t="n">
        <f aca="false">IF($S13="","",INDEX('All reports'!$T$5:$T$249,$S13))</f>
        <v>94808</v>
      </c>
      <c r="L13" s="12" t="n">
        <f aca="false">IF($S13="","",INDEX('All reports'!$U$5:$U$249,$S13))</f>
        <v>2</v>
      </c>
      <c r="M13" s="15" t="n">
        <f aca="false">IF($S13="","",INDEX('All reports'!$Y$5:$Y$249,$S13))</f>
        <v>10</v>
      </c>
      <c r="N13" s="12" t="str">
        <f aca="false">IF($S13="","",IF(INDEX('All reports'!$N$5:$N$249,$S13)="","",INDEX('All reports'!$N$5:$N$249,$S13)))</f>
        <v>Exact</v>
      </c>
      <c r="O13" s="12" t="n">
        <f aca="false">IF($S13="","",COUNTIF('All reports'!$M$5:$M$249,INDEX('All reports'!$M$5:$M$249,$S13))-1)</f>
        <v>0</v>
      </c>
      <c r="P13" s="16" t="str">
        <f aca="false">IFERROR(HYPERLINK(INDEX('All reports'!$L$5:$L$249,$S13),"Open report"),"")</f>
        <v>Open report</v>
      </c>
      <c r="Q13" s="16" t="str">
        <f aca="false">IFERROR(HYPERLINK(INDEX('QC listings'!$H$5:$H$200,MATCH(INDEX('All reports'!$M$5:$M$249,$S13),'QC listings'!$A$5:$A$200,0)),"Open listing"),"")</f>
        <v>Open listing</v>
      </c>
      <c r="R13" s="6" t="str">
        <f aca="false">IF($S13="","",INDEX('All reports'!$AC$5:$AC$249,$S13))</f>
        <v>Link out; Trustified's written licence needed to display the report</v>
      </c>
      <c r="S13" s="17" t="n">
        <f aca="false">IFERROR(MATCH($A13,'All reports'!$AA$5:$AA$249,0),"")</f>
        <v>50</v>
      </c>
    </row>
    <row r="14" customFormat="false" ht="23.85" hidden="false" customHeight="false" outlineLevel="0" collapsed="false">
      <c r="A14" s="12" t="n">
        <v>10</v>
      </c>
      <c r="B14" s="6" t="str">
        <f aca="false">IF($S14="","",INDEX('All reports'!$B$5:$B$249,$S14))</f>
        <v>Aashirvaad</v>
      </c>
      <c r="C14" s="6" t="str">
        <f aca="false">IF($S14="","",INDEX('All reports'!$C$5:$C$249,$S14))</f>
        <v>Superior MP Atta</v>
      </c>
      <c r="D14" s="7" t="str">
        <f aca="false">IF($S14="","",INDEX('All reports'!$E$5:$E$249,$S14))</f>
        <v>Atta, rice &amp; salt</v>
      </c>
      <c r="E14" s="12" t="str">
        <f aca="false">IF($S14="","",INDEX('All reports'!$F$5:$F$249,$S14))</f>
        <v>Passed</v>
      </c>
      <c r="F14" s="13" t="n">
        <f aca="false">IF($S14="","",IF(INDEX('All reports'!$G$5:$G$249,$S14)="","",INDEX('All reports'!$G$5:$G$249,$S14)))</f>
        <v>46223</v>
      </c>
      <c r="G14" s="6" t="str">
        <f aca="false">IF($S14="","",INDEX('All reports'!$I$5:$I$249,$S14))</f>
        <v>Eurofins</v>
      </c>
      <c r="H14" s="7" t="str">
        <f aca="false">IF($S14="","",IF(INDEX('All reports'!$H$5:$H$249,$S14)="","",INDEX('All reports'!$H$5:$H$249,$S14)))</f>
        <v>04A72904</v>
      </c>
      <c r="I14" s="7" t="str">
        <f aca="false">IF($S14="","",INDEX('All reports'!$J$5:$J$249,$S14))</f>
        <v>Trustified Pass/Fail</v>
      </c>
      <c r="J14" s="6" t="str">
        <f aca="false">IF($S14="","",SUBSTITUTE(TRIM(IF(INDEX('All reports'!$O$5:$O$249,$S14)="Y","Blinkit",IF(INDEX('All reports'!$O$5:$O$249,$S14)="?","Blinkit?",""))&amp;" "&amp;IF(INDEX('All reports'!$P$5:$P$249,$S14)="Y","Zepto",IF(INDEX('All reports'!$P$5:$P$249,$S14)="?","Zepto?",""))&amp;" "&amp;IF(INDEX('All reports'!$Q$5:$Q$249,$S14)="Y","Instamart",IF(INDEX('All reports'!$Q$5:$Q$249,$S14)="?","Instamart?",""))&amp;" "&amp;IF(INDEX('All reports'!$R$5:$R$249,$S14)="Y","BigBasket",IF(INDEX('All reports'!$R$5:$R$249,$S14)="?","BigBasket?","")))," "," · "))</f>
        <v>Blinkit · Zepto · Instamart · BigBasket</v>
      </c>
      <c r="K14" s="14" t="n">
        <f aca="false">IF($S14="","",INDEX('All reports'!$T$5:$T$249,$S14))</f>
        <v>74917</v>
      </c>
      <c r="L14" s="12" t="n">
        <f aca="false">IF($S14="","",INDEX('All reports'!$U$5:$U$249,$S14))</f>
        <v>2</v>
      </c>
      <c r="M14" s="15" t="n">
        <f aca="false">IF($S14="","",INDEX('All reports'!$Y$5:$Y$249,$S14))</f>
        <v>10</v>
      </c>
      <c r="N14" s="12" t="str">
        <f aca="false">IF($S14="","",IF(INDEX('All reports'!$N$5:$N$249,$S14)="","",INDEX('All reports'!$N$5:$N$249,$S14)))</f>
        <v>Exact</v>
      </c>
      <c r="O14" s="12" t="n">
        <f aca="false">IF($S14="","",COUNTIF('All reports'!$M$5:$M$249,INDEX('All reports'!$M$5:$M$249,$S14))-1)</f>
        <v>0</v>
      </c>
      <c r="P14" s="16" t="str">
        <f aca="false">IFERROR(HYPERLINK(INDEX('All reports'!$L$5:$L$249,$S14),"Open report"),"")</f>
        <v>Open report</v>
      </c>
      <c r="Q14" s="16" t="str">
        <f aca="false">IFERROR(HYPERLINK(INDEX('QC listings'!$H$5:$H$200,MATCH(INDEX('All reports'!$M$5:$M$249,$S14),'QC listings'!$A$5:$A$200,0)),"Open listing"),"")</f>
        <v>Open listing</v>
      </c>
      <c r="R14" s="6" t="str">
        <f aca="false">IF($S14="","",INDEX('All reports'!$AC$5:$AC$249,$S14))</f>
        <v>Link out; Trustified's written licence needed to display the report</v>
      </c>
      <c r="S14" s="17" t="n">
        <f aca="false">IFERROR(MATCH($A14,'All reports'!$AA$5:$AA$249,0),"")</f>
        <v>33</v>
      </c>
    </row>
    <row r="15" customFormat="false" ht="23.85" hidden="false" customHeight="false" outlineLevel="0" collapsed="false">
      <c r="A15" s="12" t="n">
        <v>11</v>
      </c>
      <c r="B15" s="6" t="str">
        <f aca="false">IF($S15="","",INDEX('All reports'!$B$5:$B$249,$S15))</f>
        <v>Amul</v>
      </c>
      <c r="C15" s="6" t="str">
        <f aca="false">IF($S15="","",INDEX('All reports'!$C$5:$C$249,$S15))</f>
        <v>Butter</v>
      </c>
      <c r="D15" s="7" t="str">
        <f aca="false">IF($S15="","",INDEX('All reports'!$E$5:$E$249,$S15))</f>
        <v>Butter, paneer &amp; cheese</v>
      </c>
      <c r="E15" s="12" t="str">
        <f aca="false">IF($S15="","",INDEX('All reports'!$F$5:$F$249,$S15))</f>
        <v>Passed</v>
      </c>
      <c r="F15" s="13" t="n">
        <f aca="false">IF($S15="","",IF(INDEX('All reports'!$G$5:$G$249,$S15)="","",INDEX('All reports'!$G$5:$G$249,$S15)))</f>
        <v>45746</v>
      </c>
      <c r="G15" s="6" t="str">
        <f aca="false">IF($S15="","",INDEX('All reports'!$I$5:$I$249,$S15))</f>
        <v>Eurofins</v>
      </c>
      <c r="H15" s="7" t="str">
        <f aca="false">IF($S15="","",IF(INDEX('All reports'!$H$5:$H$249,$S15)="","",INDEX('All reports'!$H$5:$H$249,$S15)))</f>
        <v>SAN3211</v>
      </c>
      <c r="I15" s="7" t="str">
        <f aca="false">IF($S15="","",INDEX('All reports'!$J$5:$J$249,$S15))</f>
        <v>Trustified Pass/Fail</v>
      </c>
      <c r="J15" s="6" t="str">
        <f aca="false">IF($S15="","",SUBSTITUTE(TRIM(IF(INDEX('All reports'!$O$5:$O$249,$S15)="Y","Blinkit",IF(INDEX('All reports'!$O$5:$O$249,$S15)="?","Blinkit?",""))&amp;" "&amp;IF(INDEX('All reports'!$P$5:$P$249,$S15)="Y","Zepto",IF(INDEX('All reports'!$P$5:$P$249,$S15)="?","Zepto?",""))&amp;" "&amp;IF(INDEX('All reports'!$Q$5:$Q$249,$S15)="Y","Instamart",IF(INDEX('All reports'!$Q$5:$Q$249,$S15)="?","Instamart?",""))&amp;" "&amp;IF(INDEX('All reports'!$R$5:$R$249,$S15)="Y","BigBasket",IF(INDEX('All reports'!$R$5:$R$249,$S15)="?","BigBasket?","")))," "," · "))</f>
        <v>Blinkit · Zepto · Instamart?</v>
      </c>
      <c r="K15" s="14" t="n">
        <f aca="false">IF($S15="","",INDEX('All reports'!$T$5:$T$249,$S15))</f>
        <v>144000</v>
      </c>
      <c r="L15" s="12" t="n">
        <f aca="false">IF($S15="","",INDEX('All reports'!$U$5:$U$249,$S15))</f>
        <v>3</v>
      </c>
      <c r="M15" s="15" t="n">
        <f aca="false">IF($S15="","",INDEX('All reports'!$Y$5:$Y$249,$S15))</f>
        <v>9</v>
      </c>
      <c r="N15" s="12" t="str">
        <f aca="false">IF($S15="","",IF(INDEX('All reports'!$N$5:$N$249,$S15)="","",INDEX('All reports'!$N$5:$N$249,$S15)))</f>
        <v>Exact</v>
      </c>
      <c r="O15" s="12" t="n">
        <f aca="false">IF($S15="","",COUNTIF('All reports'!$M$5:$M$249,INDEX('All reports'!$M$5:$M$249,$S15))-1)</f>
        <v>0</v>
      </c>
      <c r="P15" s="16" t="str">
        <f aca="false">IFERROR(HYPERLINK(INDEX('All reports'!$L$5:$L$249,$S15),"Open report"),"")</f>
        <v>Open report</v>
      </c>
      <c r="Q15" s="16" t="str">
        <f aca="false">IFERROR(HYPERLINK(INDEX('QC listings'!$H$5:$H$200,MATCH(INDEX('All reports'!$M$5:$M$249,$S15),'QC listings'!$A$5:$A$200,0)),"Open listing"),"")</f>
        <v>Open listing</v>
      </c>
      <c r="R15" s="6" t="str">
        <f aca="false">IF($S15="","",INDEX('All reports'!$AC$5:$AC$249,$S15))</f>
        <v>Link out; Trustified's written licence needed to display the report</v>
      </c>
      <c r="S15" s="17" t="n">
        <f aca="false">IFERROR(MATCH($A15,'All reports'!$AA$5:$AA$249,0),"")</f>
        <v>20</v>
      </c>
    </row>
    <row r="16" customFormat="false" ht="23.85" hidden="false" customHeight="false" outlineLevel="0" collapsed="false">
      <c r="A16" s="12" t="n">
        <v>12</v>
      </c>
      <c r="B16" s="6" t="str">
        <f aca="false">IF($S16="","",INDEX('All reports'!$B$5:$B$249,$S16))</f>
        <v>India Gate</v>
      </c>
      <c r="C16" s="6" t="str">
        <f aca="false">IF($S16="","",INDEX('All reports'!$C$5:$C$249,$S16))</f>
        <v>Feast Rozzana Basmati Rice</v>
      </c>
      <c r="D16" s="7" t="str">
        <f aca="false">IF($S16="","",INDEX('All reports'!$E$5:$E$249,$S16))</f>
        <v>Atta, rice &amp; salt</v>
      </c>
      <c r="E16" s="12" t="str">
        <f aca="false">IF($S16="","",INDEX('All reports'!$F$5:$F$249,$S16))</f>
        <v>Failed</v>
      </c>
      <c r="F16" s="13" t="n">
        <f aca="false">IF($S16="","",IF(INDEX('All reports'!$G$5:$G$249,$S16)="","",INDEX('All reports'!$G$5:$G$249,$S16)))</f>
        <v>46103</v>
      </c>
      <c r="G16" s="6" t="str">
        <f aca="false">IF($S16="","",INDEX('All reports'!$I$5:$I$249,$S16))</f>
        <v>Eurofins</v>
      </c>
      <c r="H16" s="7" t="str">
        <f aca="false">IF($S16="","",IF(INDEX('All reports'!$H$5:$H$249,$S16)="","",INDEX('All reports'!$H$5:$H$249,$S16)))</f>
        <v>BW52E24400</v>
      </c>
      <c r="I16" s="7" t="str">
        <f aca="false">IF($S16="","",INDEX('All reports'!$J$5:$J$249,$S16))</f>
        <v>Trustified Pass/Fail</v>
      </c>
      <c r="J16" s="6" t="str">
        <f aca="false">IF($S16="","",SUBSTITUTE(TRIM(IF(INDEX('All reports'!$O$5:$O$249,$S16)="Y","Blinkit",IF(INDEX('All reports'!$O$5:$O$249,$S16)="?","Blinkit?",""))&amp;" "&amp;IF(INDEX('All reports'!$P$5:$P$249,$S16)="Y","Zepto",IF(INDEX('All reports'!$P$5:$P$249,$S16)="?","Zepto?",""))&amp;" "&amp;IF(INDEX('All reports'!$Q$5:$Q$249,$S16)="Y","Instamart",IF(INDEX('All reports'!$Q$5:$Q$249,$S16)="?","Instamart?",""))&amp;" "&amp;IF(INDEX('All reports'!$R$5:$R$249,$S16)="Y","BigBasket",IF(INDEX('All reports'!$R$5:$R$249,$S16)="?","BigBasket?","")))," "," · "))</f>
        <v>Zepto · Instamart · BigBasket</v>
      </c>
      <c r="K16" s="14" t="n">
        <f aca="false">IF($S16="","",INDEX('All reports'!$T$5:$T$249,$S16))</f>
        <v>23064</v>
      </c>
      <c r="L16" s="12" t="n">
        <f aca="false">IF($S16="","",INDEX('All reports'!$U$5:$U$249,$S16))</f>
        <v>2</v>
      </c>
      <c r="M16" s="15" t="n">
        <f aca="false">IF($S16="","",INDEX('All reports'!$Y$5:$Y$249,$S16))</f>
        <v>9</v>
      </c>
      <c r="N16" s="12" t="str">
        <f aca="false">IF($S16="","",IF(INDEX('All reports'!$N$5:$N$249,$S16)="","",INDEX('All reports'!$N$5:$N$249,$S16)))</f>
        <v>Exact</v>
      </c>
      <c r="O16" s="12" t="n">
        <f aca="false">IF($S16="","",COUNTIF('All reports'!$M$5:$M$249,INDEX('All reports'!$M$5:$M$249,$S16))-1)</f>
        <v>0</v>
      </c>
      <c r="P16" s="16" t="str">
        <f aca="false">IFERROR(HYPERLINK(INDEX('All reports'!$L$5:$L$249,$S16),"Open report"),"")</f>
        <v>Open report</v>
      </c>
      <c r="Q16" s="16" t="str">
        <f aca="false">IFERROR(HYPERLINK(INDEX('QC listings'!$H$5:$H$200,MATCH(INDEX('All reports'!$M$5:$M$249,$S16),'QC listings'!$A$5:$A$200,0)),"Open listing"),"")</f>
        <v>Open listing</v>
      </c>
      <c r="R16" s="6" t="str">
        <f aca="false">IF($S16="","",INDEX('All reports'!$AC$5:$AC$249,$S16))</f>
        <v>Link out; licence needed to display; run the PRD publication gate first (negative verdict)</v>
      </c>
      <c r="S16" s="17" t="n">
        <f aca="false">IFERROR(MATCH($A16,'All reports'!$AA$5:$AA$249,0),"")</f>
        <v>35</v>
      </c>
    </row>
    <row r="17" customFormat="false" ht="23.85" hidden="false" customHeight="false" outlineLevel="0" collapsed="false">
      <c r="A17" s="12" t="n">
        <v>13</v>
      </c>
      <c r="B17" s="6" t="str">
        <f aca="false">IF($S17="","",INDEX('All reports'!$B$5:$B$249,$S17))</f>
        <v>Everest</v>
      </c>
      <c r="C17" s="6" t="str">
        <f aca="false">IF($S17="","",INDEX('All reports'!$C$5:$C$249,$S17))</f>
        <v>Kashmirilal Mirch</v>
      </c>
      <c r="D17" s="7" t="str">
        <f aca="false">IF($S17="","",INDEX('All reports'!$E$5:$E$249,$S17))</f>
        <v>Spices &amp; masala</v>
      </c>
      <c r="E17" s="12" t="str">
        <f aca="false">IF($S17="","",INDEX('All reports'!$F$5:$F$249,$S17))</f>
        <v>Failed</v>
      </c>
      <c r="F17" s="13" t="n">
        <f aca="false">IF($S17="","",IF(INDEX('All reports'!$G$5:$G$249,$S17)="","",INDEX('All reports'!$G$5:$G$249,$S17)))</f>
        <v>46082</v>
      </c>
      <c r="G17" s="6" t="str">
        <f aca="false">IF($S17="","",INDEX('All reports'!$I$5:$I$249,$S17))</f>
        <v>Eurofins</v>
      </c>
      <c r="H17" s="7" t="str">
        <f aca="false">IF($S17="","",IF(INDEX('All reports'!$H$5:$H$249,$S17)="","",INDEX('All reports'!$H$5:$H$249,$S17)))</f>
        <v>E280674318</v>
      </c>
      <c r="I17" s="7" t="str">
        <f aca="false">IF($S17="","",INDEX('All reports'!$J$5:$J$249,$S17))</f>
        <v>Trustified Pass/Fail</v>
      </c>
      <c r="J17" s="6" t="str">
        <f aca="false">IF($S17="","",SUBSTITUTE(TRIM(IF(INDEX('All reports'!$O$5:$O$249,$S17)="Y","Blinkit",IF(INDEX('All reports'!$O$5:$O$249,$S17)="?","Blinkit?",""))&amp;" "&amp;IF(INDEX('All reports'!$P$5:$P$249,$S17)="Y","Zepto",IF(INDEX('All reports'!$P$5:$P$249,$S17)="?","Zepto?",""))&amp;" "&amp;IF(INDEX('All reports'!$Q$5:$Q$249,$S17)="Y","Instamart",IF(INDEX('All reports'!$Q$5:$Q$249,$S17)="?","Instamart?",""))&amp;" "&amp;IF(INDEX('All reports'!$R$5:$R$249,$S17)="Y","BigBasket",IF(INDEX('All reports'!$R$5:$R$249,$S17)="?","BigBasket?","")))," "," · "))</f>
        <v>Zepto · Instamart · BigBasket</v>
      </c>
      <c r="K17" s="14" t="n">
        <f aca="false">IF($S17="","",INDEX('All reports'!$T$5:$T$249,$S17))</f>
        <v>22802</v>
      </c>
      <c r="L17" s="12" t="n">
        <f aca="false">IF($S17="","",INDEX('All reports'!$U$5:$U$249,$S17))</f>
        <v>2</v>
      </c>
      <c r="M17" s="15" t="n">
        <f aca="false">IF($S17="","",INDEX('All reports'!$Y$5:$Y$249,$S17))</f>
        <v>9</v>
      </c>
      <c r="N17" s="12" t="str">
        <f aca="false">IF($S17="","",IF(INDEX('All reports'!$N$5:$N$249,$S17)="","",INDEX('All reports'!$N$5:$N$249,$S17)))</f>
        <v>Exact</v>
      </c>
      <c r="O17" s="12" t="n">
        <f aca="false">IF($S17="","",COUNTIF('All reports'!$M$5:$M$249,INDEX('All reports'!$M$5:$M$249,$S17))-1)</f>
        <v>0</v>
      </c>
      <c r="P17" s="16" t="str">
        <f aca="false">IFERROR(HYPERLINK(INDEX('All reports'!$L$5:$L$249,$S17),"Open report"),"")</f>
        <v>Open report</v>
      </c>
      <c r="Q17" s="16" t="str">
        <f aca="false">IFERROR(HYPERLINK(INDEX('QC listings'!$H$5:$H$200,MATCH(INDEX('All reports'!$M$5:$M$249,$S17),'QC listings'!$A$5:$A$200,0)),"Open listing"),"")</f>
        <v>Open listing</v>
      </c>
      <c r="R17" s="6" t="str">
        <f aca="false">IF($S17="","",INDEX('All reports'!$AC$5:$AC$249,$S17))</f>
        <v>Link out; licence needed to display; run the PRD publication gate first (negative verdict)</v>
      </c>
      <c r="S17" s="17" t="n">
        <f aca="false">IFERROR(MATCH($A17,'All reports'!$AA$5:$AA$249,0),"")</f>
        <v>47</v>
      </c>
    </row>
    <row r="18" customFormat="false" ht="23.85" hidden="false" customHeight="false" outlineLevel="0" collapsed="false">
      <c r="A18" s="12" t="n">
        <v>14</v>
      </c>
      <c r="B18" s="6" t="str">
        <f aca="false">IF($S18="","",INDEX('All reports'!$B$5:$B$249,$S18))</f>
        <v>Fortune</v>
      </c>
      <c r="C18" s="6" t="str">
        <f aca="false">IF($S18="","",INDEX('All reports'!$C$5:$C$249,$S18))</f>
        <v>Soya Chunks</v>
      </c>
      <c r="D18" s="7" t="str">
        <f aca="false">IF($S18="","",INDEX('All reports'!$E$5:$E$249,$S18))</f>
        <v>Soya &amp; protein flour</v>
      </c>
      <c r="E18" s="12" t="str">
        <f aca="false">IF($S18="","",INDEX('All reports'!$F$5:$F$249,$S18))</f>
        <v>Passed</v>
      </c>
      <c r="F18" s="13" t="n">
        <f aca="false">IF($S18="","",IF(INDEX('All reports'!$G$5:$G$249,$S18)="","",INDEX('All reports'!$G$5:$G$249,$S18)))</f>
        <v>45695</v>
      </c>
      <c r="G18" s="6" t="str">
        <f aca="false">IF($S18="","",INDEX('All reports'!$I$5:$I$249,$S18))</f>
        <v>Eurofins</v>
      </c>
      <c r="H18" s="7" t="str">
        <f aca="false">IF($S18="","",IF(INDEX('All reports'!$H$5:$H$249,$S18)="","",INDEX('All reports'!$H$5:$H$249,$S18)))</f>
        <v>(VA) CK56M12</v>
      </c>
      <c r="I18" s="7" t="str">
        <f aca="false">IF($S18="","",INDEX('All reports'!$J$5:$J$249,$S18))</f>
        <v>Trustified Pass/Fail</v>
      </c>
      <c r="J18" s="6" t="str">
        <f aca="false">IF($S18="","",SUBSTITUTE(TRIM(IF(INDEX('All reports'!$O$5:$O$249,$S18)="Y","Blinkit",IF(INDEX('All reports'!$O$5:$O$249,$S18)="?","Blinkit?",""))&amp;" "&amp;IF(INDEX('All reports'!$P$5:$P$249,$S18)="Y","Zepto",IF(INDEX('All reports'!$P$5:$P$249,$S18)="?","Zepto?",""))&amp;" "&amp;IF(INDEX('All reports'!$Q$5:$Q$249,$S18)="Y","Instamart",IF(INDEX('All reports'!$Q$5:$Q$249,$S18)="?","Instamart?",""))&amp;" "&amp;IF(INDEX('All reports'!$R$5:$R$249,$S18)="Y","BigBasket",IF(INDEX('All reports'!$R$5:$R$249,$S18)="?","BigBasket?","")))," "," · "))</f>
        <v>Blinkit · Zepto · BigBasket</v>
      </c>
      <c r="K18" s="14" t="n">
        <f aca="false">IF($S18="","",INDEX('All reports'!$T$5:$T$249,$S18))</f>
        <v>24414</v>
      </c>
      <c r="L18" s="12" t="n">
        <f aca="false">IF($S18="","",INDEX('All reports'!$U$5:$U$249,$S18))</f>
        <v>2</v>
      </c>
      <c r="M18" s="15" t="n">
        <f aca="false">IF($S18="","",INDEX('All reports'!$Y$5:$Y$249,$S18))</f>
        <v>8</v>
      </c>
      <c r="N18" s="12" t="str">
        <f aca="false">IF($S18="","",IF(INDEX('All reports'!$N$5:$N$249,$S18)="","",INDEX('All reports'!$N$5:$N$249,$S18)))</f>
        <v>Exact</v>
      </c>
      <c r="O18" s="12" t="n">
        <f aca="false">IF($S18="","",COUNTIF('All reports'!$M$5:$M$249,INDEX('All reports'!$M$5:$M$249,$S18))-1)</f>
        <v>0</v>
      </c>
      <c r="P18" s="16" t="str">
        <f aca="false">IFERROR(HYPERLINK(INDEX('All reports'!$L$5:$L$249,$S18),"Open report"),"")</f>
        <v>Open report</v>
      </c>
      <c r="Q18" s="16" t="str">
        <f aca="false">IFERROR(HYPERLINK(INDEX('QC listings'!$H$5:$H$200,MATCH(INDEX('All reports'!$M$5:$M$249,$S18),'QC listings'!$A$5:$A$200,0)),"Open listing"),"")</f>
        <v>Open listing</v>
      </c>
      <c r="R18" s="6" t="str">
        <f aca="false">IF($S18="","",INDEX('All reports'!$AC$5:$AC$249,$S18))</f>
        <v>Link out; Trustified's written licence needed to display the report</v>
      </c>
      <c r="S18" s="17" t="n">
        <f aca="false">IFERROR(MATCH($A18,'All reports'!$AA$5:$AA$249,0),"")</f>
        <v>40</v>
      </c>
    </row>
    <row r="19" customFormat="false" ht="23.85" hidden="false" customHeight="false" outlineLevel="0" collapsed="false">
      <c r="A19" s="12" t="n">
        <v>15</v>
      </c>
      <c r="B19" s="6" t="str">
        <f aca="false">IF($S19="","",INDEX('All reports'!$B$5:$B$249,$S19))</f>
        <v>Fortune</v>
      </c>
      <c r="C19" s="6" t="str">
        <f aca="false">IF($S19="","",INDEX('All reports'!$C$5:$C$249,$S19))</f>
        <v>Kachi Ghani Pure Mustard Oil</v>
      </c>
      <c r="D19" s="7" t="str">
        <f aca="false">IF($S19="","",INDEX('All reports'!$E$5:$E$249,$S19))</f>
        <v>Cooking oil</v>
      </c>
      <c r="E19" s="12" t="str">
        <f aca="false">IF($S19="","",INDEX('All reports'!$F$5:$F$249,$S19))</f>
        <v>Passed</v>
      </c>
      <c r="F19" s="13" t="n">
        <f aca="false">IF($S19="","",IF(INDEX('All reports'!$G$5:$G$249,$S19)="","",INDEX('All reports'!$G$5:$G$249,$S19)))</f>
        <v>45926</v>
      </c>
      <c r="G19" s="6" t="str">
        <f aca="false">IF($S19="","",INDEX('All reports'!$I$5:$I$249,$S19))</f>
        <v>Eurofins</v>
      </c>
      <c r="H19" s="7" t="str">
        <f aca="false">IF($S19="","",IF(INDEX('All reports'!$H$5:$H$249,$S19)="","",INDEX('All reports'!$H$5:$H$249,$S19)))</f>
        <v>(AB)KM09N05</v>
      </c>
      <c r="I19" s="7" t="str">
        <f aca="false">IF($S19="","",INDEX('All reports'!$J$5:$J$249,$S19))</f>
        <v>Trustified Pass/Fail</v>
      </c>
      <c r="J19" s="6" t="str">
        <f aca="false">IF($S19="","",SUBSTITUTE(TRIM(IF(INDEX('All reports'!$O$5:$O$249,$S19)="Y","Blinkit",IF(INDEX('All reports'!$O$5:$O$249,$S19)="?","Blinkit?",""))&amp;" "&amp;IF(INDEX('All reports'!$P$5:$P$249,$S19)="Y","Zepto",IF(INDEX('All reports'!$P$5:$P$249,$S19)="?","Zepto?",""))&amp;" "&amp;IF(INDEX('All reports'!$Q$5:$Q$249,$S19)="Y","Instamart",IF(INDEX('All reports'!$Q$5:$Q$249,$S19)="?","Instamart?",""))&amp;" "&amp;IF(INDEX('All reports'!$R$5:$R$249,$S19)="Y","BigBasket",IF(INDEX('All reports'!$R$5:$R$249,$S19)="?","BigBasket?","")))," "," · "))</f>
        <v>Blinkit · Zepto · BigBasket</v>
      </c>
      <c r="K19" s="14" t="n">
        <f aca="false">IF($S19="","",INDEX('All reports'!$T$5:$T$249,$S19))</f>
        <v>19850</v>
      </c>
      <c r="L19" s="12" t="n">
        <f aca="false">IF($S19="","",INDEX('All reports'!$U$5:$U$249,$S19))</f>
        <v>2</v>
      </c>
      <c r="M19" s="15" t="n">
        <f aca="false">IF($S19="","",INDEX('All reports'!$Y$5:$Y$249,$S19))</f>
        <v>8</v>
      </c>
      <c r="N19" s="12" t="str">
        <f aca="false">IF($S19="","",IF(INDEX('All reports'!$N$5:$N$249,$S19)="","",INDEX('All reports'!$N$5:$N$249,$S19)))</f>
        <v>Exact</v>
      </c>
      <c r="O19" s="12" t="n">
        <f aca="false">IF($S19="","",COUNTIF('All reports'!$M$5:$M$249,INDEX('All reports'!$M$5:$M$249,$S19))-1)</f>
        <v>0</v>
      </c>
      <c r="P19" s="16" t="str">
        <f aca="false">IFERROR(HYPERLINK(INDEX('All reports'!$L$5:$L$249,$S19),"Open report"),"")</f>
        <v>Open report</v>
      </c>
      <c r="Q19" s="16" t="str">
        <f aca="false">IFERROR(HYPERLINK(INDEX('QC listings'!$H$5:$H$200,MATCH(INDEX('All reports'!$M$5:$M$249,$S19),'QC listings'!$A$5:$A$200,0)),"Open listing"),"")</f>
        <v>Open listing</v>
      </c>
      <c r="R19" s="6" t="str">
        <f aca="false">IF($S19="","",INDEX('All reports'!$AC$5:$AC$249,$S19))</f>
        <v>Link out; Trustified's written licence needed to display the report</v>
      </c>
      <c r="S19" s="17" t="n">
        <f aca="false">IFERROR(MATCH($A19,'All reports'!$AA$5:$AA$249,0),"")</f>
        <v>37</v>
      </c>
    </row>
    <row r="20" customFormat="false" ht="23.85" hidden="false" customHeight="false" outlineLevel="0" collapsed="false">
      <c r="A20" s="12" t="n">
        <v>16</v>
      </c>
      <c r="B20" s="6" t="str">
        <f aca="false">IF($S20="","",INDEX('All reports'!$B$5:$B$249,$S20))</f>
        <v>Amul</v>
      </c>
      <c r="C20" s="6" t="str">
        <f aca="false">IF($S20="","",INDEX('All reports'!$C$5:$C$249,$S20))</f>
        <v>Paneer</v>
      </c>
      <c r="D20" s="7" t="str">
        <f aca="false">IF($S20="","",INDEX('All reports'!$E$5:$E$249,$S20))</f>
        <v>Butter, paneer &amp; cheese</v>
      </c>
      <c r="E20" s="12" t="str">
        <f aca="false">IF($S20="","",INDEX('All reports'!$F$5:$F$249,$S20))</f>
        <v>Passed</v>
      </c>
      <c r="F20" s="13" t="n">
        <f aca="false">IF($S20="","",IF(INDEX('All reports'!$G$5:$G$249,$S20)="","",INDEX('All reports'!$G$5:$G$249,$S20)))</f>
        <v>45713</v>
      </c>
      <c r="G20" s="6" t="str">
        <f aca="false">IF($S20="","",INDEX('All reports'!$I$5:$I$249,$S20))</f>
        <v>Eurofins</v>
      </c>
      <c r="H20" s="7" t="str">
        <f aca="false">IF($S20="","",IF(INDEX('All reports'!$H$5:$H$249,$S20)="","",INDEX('All reports'!$H$5:$H$249,$S20)))</f>
        <v>MPC 018A</v>
      </c>
      <c r="I20" s="7" t="str">
        <f aca="false">IF($S20="","",INDEX('All reports'!$J$5:$J$249,$S20))</f>
        <v>Trustified Pass/Fail</v>
      </c>
      <c r="J20" s="6" t="str">
        <f aca="false">IF($S20="","",SUBSTITUTE(TRIM(IF(INDEX('All reports'!$O$5:$O$249,$S20)="Y","Blinkit",IF(INDEX('All reports'!$O$5:$O$249,$S20)="?","Blinkit?",""))&amp;" "&amp;IF(INDEX('All reports'!$P$5:$P$249,$S20)="Y","Zepto",IF(INDEX('All reports'!$P$5:$P$249,$S20)="?","Zepto?",""))&amp;" "&amp;IF(INDEX('All reports'!$Q$5:$Q$249,$S20)="Y","Instamart",IF(INDEX('All reports'!$Q$5:$Q$249,$S20)="?","Instamart?",""))&amp;" "&amp;IF(INDEX('All reports'!$R$5:$R$249,$S20)="Y","BigBasket",IF(INDEX('All reports'!$R$5:$R$249,$S20)="?","BigBasket?","")))," "," · "))</f>
        <v>Blinkit · Zepto · BigBasket</v>
      </c>
      <c r="K20" s="14" t="n">
        <f aca="false">IF($S20="","",INDEX('All reports'!$T$5:$T$249,$S20))</f>
        <v>397166</v>
      </c>
      <c r="L20" s="12" t="n">
        <f aca="false">IF($S20="","",INDEX('All reports'!$U$5:$U$249,$S20))</f>
        <v>3</v>
      </c>
      <c r="M20" s="15" t="n">
        <f aca="false">IF($S20="","",INDEX('All reports'!$Y$5:$Y$249,$S20))</f>
        <v>7.75</v>
      </c>
      <c r="N20" s="12" t="str">
        <f aca="false">IF($S20="","",IF(INDEX('All reports'!$N$5:$N$249,$S20)="","",INDEX('All reports'!$N$5:$N$249,$S20)))</f>
        <v>Same line</v>
      </c>
      <c r="O20" s="12" t="n">
        <f aca="false">IF($S20="","",COUNTIF('All reports'!$M$5:$M$249,INDEX('All reports'!$M$5:$M$249,$S20))-1)</f>
        <v>0</v>
      </c>
      <c r="P20" s="16" t="str">
        <f aca="false">IFERROR(HYPERLINK(INDEX('All reports'!$L$5:$L$249,$S20),"Open report"),"")</f>
        <v>Open report</v>
      </c>
      <c r="Q20" s="16" t="str">
        <f aca="false">IFERROR(HYPERLINK(INDEX('QC listings'!$H$5:$H$200,MATCH(INDEX('All reports'!$M$5:$M$249,$S20),'QC listings'!$A$5:$A$200,0)),"Open listing"),"")</f>
        <v>Open listing</v>
      </c>
      <c r="R20" s="6" t="str">
        <f aca="false">IF($S20="","",INDEX('All reports'!$AC$5:$AC$249,$S20))</f>
        <v>Link out; Trustified's written licence needed to display the report</v>
      </c>
      <c r="S20" s="17" t="n">
        <f aca="false">IFERROR(MATCH($A20,'All reports'!$AA$5:$AA$249,0),"")</f>
        <v>22</v>
      </c>
    </row>
    <row r="21" customFormat="false" ht="23.85" hidden="false" customHeight="false" outlineLevel="0" collapsed="false">
      <c r="A21" s="12" t="n">
        <v>17</v>
      </c>
      <c r="B21" s="6" t="str">
        <f aca="false">IF($S21="","",INDEX('All reports'!$B$5:$B$249,$S21))</f>
        <v>Pintola</v>
      </c>
      <c r="C21" s="6" t="str">
        <f aca="false">IF($S21="","",INDEX('All reports'!$C$5:$C$249,$S21))</f>
        <v>Peanut Butter</v>
      </c>
      <c r="D21" s="7" t="str">
        <f aca="false">IF($S21="","",INDEX('All reports'!$E$5:$E$249,$S21))</f>
        <v>Peanut butter</v>
      </c>
      <c r="E21" s="12" t="str">
        <f aca="false">IF($S21="","",INDEX('All reports'!$F$5:$F$249,$S21))</f>
        <v>Failed</v>
      </c>
      <c r="F21" s="13" t="n">
        <f aca="false">IF($S21="","",IF(INDEX('All reports'!$G$5:$G$249,$S21)="","",INDEX('All reports'!$G$5:$G$249,$S21)))</f>
        <v>46234</v>
      </c>
      <c r="G21" s="6" t="str">
        <f aca="false">IF($S21="","",INDEX('All reports'!$I$5:$I$249,$S21))</f>
        <v>Eurofins</v>
      </c>
      <c r="H21" s="7" t="str">
        <f aca="false">IF($S21="","",IF(INDEX('All reports'!$H$5:$H$249,$S21)="","",INDEX('All reports'!$H$5:$H$249,$S21)))</f>
        <v>61400133</v>
      </c>
      <c r="I21" s="7" t="str">
        <f aca="false">IF($S21="","",INDEX('All reports'!$J$5:$J$249,$S21))</f>
        <v>Trustified Pass/Fail</v>
      </c>
      <c r="J21" s="6" t="str">
        <f aca="false">IF($S21="","",SUBSTITUTE(TRIM(IF(INDEX('All reports'!$O$5:$O$249,$S21)="Y","Blinkit",IF(INDEX('All reports'!$O$5:$O$249,$S21)="?","Blinkit?",""))&amp;" "&amp;IF(INDEX('All reports'!$P$5:$P$249,$S21)="Y","Zepto",IF(INDEX('All reports'!$P$5:$P$249,$S21)="?","Zepto?",""))&amp;" "&amp;IF(INDEX('All reports'!$Q$5:$Q$249,$S21)="Y","Instamart",IF(INDEX('All reports'!$Q$5:$Q$249,$S21)="?","Instamart?",""))&amp;" "&amp;IF(INDEX('All reports'!$R$5:$R$249,$S21)="Y","BigBasket",IF(INDEX('All reports'!$R$5:$R$249,$S21)="?","BigBasket?","")))," "," · "))</f>
        <v>Blinkit · Zepto · BigBasket</v>
      </c>
      <c r="K21" s="14" t="n">
        <f aca="false">IF($S21="","",INDEX('All reports'!$T$5:$T$249,$S21))</f>
        <v>15107</v>
      </c>
      <c r="L21" s="12" t="n">
        <f aca="false">IF($S21="","",INDEX('All reports'!$U$5:$U$249,$S21))</f>
        <v>2</v>
      </c>
      <c r="M21" s="15" t="n">
        <f aca="false">IF($S21="","",INDEX('All reports'!$Y$5:$Y$249,$S21))</f>
        <v>7.25</v>
      </c>
      <c r="N21" s="12" t="str">
        <f aca="false">IF($S21="","",IF(INDEX('All reports'!$N$5:$N$249,$S21)="","",INDEX('All reports'!$N$5:$N$249,$S21)))</f>
        <v>Same line</v>
      </c>
      <c r="O21" s="12" t="n">
        <f aca="false">IF($S21="","",COUNTIF('All reports'!$M$5:$M$249,INDEX('All reports'!$M$5:$M$249,$S21))-1)</f>
        <v>1</v>
      </c>
      <c r="P21" s="16" t="str">
        <f aca="false">IFERROR(HYPERLINK(INDEX('All reports'!$L$5:$L$249,$S21),"Open report"),"")</f>
        <v>Open report</v>
      </c>
      <c r="Q21" s="16" t="str">
        <f aca="false">IFERROR(HYPERLINK(INDEX('QC listings'!$H$5:$H$200,MATCH(INDEX('All reports'!$M$5:$M$249,$S21),'QC listings'!$A$5:$A$200,0)),"Open listing"),"")</f>
        <v>Open listing</v>
      </c>
      <c r="R21" s="6" t="str">
        <f aca="false">IF($S21="","",INDEX('All reports'!$AC$5:$AC$249,$S21))</f>
        <v>Link out; licence needed to display; run the PRD publication gate first (negative verdict)</v>
      </c>
      <c r="S21" s="17" t="n">
        <f aca="false">IFERROR(MATCH($A21,'All reports'!$AA$5:$AA$249,0),"")</f>
        <v>106</v>
      </c>
    </row>
    <row r="22" customFormat="false" ht="23.85" hidden="false" customHeight="false" outlineLevel="0" collapsed="false">
      <c r="A22" s="12" t="n">
        <v>18</v>
      </c>
      <c r="B22" s="6" t="str">
        <f aca="false">IF($S22="","",INDEX('All reports'!$B$5:$B$249,$S22))</f>
        <v>Saffola</v>
      </c>
      <c r="C22" s="6" t="str">
        <f aca="false">IF($S22="","",INDEX('All reports'!$C$5:$C$249,$S22))</f>
        <v>Oats</v>
      </c>
      <c r="D22" s="7" t="str">
        <f aca="false">IF($S22="","",INDEX('All reports'!$E$5:$E$249,$S22))</f>
        <v>Breakfast cereal &amp; oats</v>
      </c>
      <c r="E22" s="12" t="str">
        <f aca="false">IF($S22="","",INDEX('All reports'!$F$5:$F$249,$S22))</f>
        <v>Passed</v>
      </c>
      <c r="F22" s="13" t="n">
        <f aca="false">IF($S22="","",IF(INDEX('All reports'!$G$5:$G$249,$S22)="","",INDEX('All reports'!$G$5:$G$249,$S22)))</f>
        <v>45792</v>
      </c>
      <c r="G22" s="6" t="str">
        <f aca="false">IF($S22="","",INDEX('All reports'!$I$5:$I$249,$S22))</f>
        <v>Eurofins</v>
      </c>
      <c r="H22" s="7" t="str">
        <f aca="false">IF($S22="","",IF(INDEX('All reports'!$H$5:$H$249,$S22)="","",INDEX('All reports'!$H$5:$H$249,$S22)))</f>
        <v>AB1224ll26</v>
      </c>
      <c r="I22" s="7" t="str">
        <f aca="false">IF($S22="","",INDEX('All reports'!$J$5:$J$249,$S22))</f>
        <v>Trustified Pass/Fail</v>
      </c>
      <c r="J22" s="6" t="str">
        <f aca="false">IF($S22="","",SUBSTITUTE(TRIM(IF(INDEX('All reports'!$O$5:$O$249,$S22)="Y","Blinkit",IF(INDEX('All reports'!$O$5:$O$249,$S22)="?","Blinkit?",""))&amp;" "&amp;IF(INDEX('All reports'!$P$5:$P$249,$S22)="Y","Zepto",IF(INDEX('All reports'!$P$5:$P$249,$S22)="?","Zepto?",""))&amp;" "&amp;IF(INDEX('All reports'!$Q$5:$Q$249,$S22)="Y","Instamart",IF(INDEX('All reports'!$Q$5:$Q$249,$S22)="?","Instamart?",""))&amp;" "&amp;IF(INDEX('All reports'!$R$5:$R$249,$S22)="Y","BigBasket",IF(INDEX('All reports'!$R$5:$R$249,$S22)="?","BigBasket?","")))," "," · "))</f>
        <v>Blinkit · Zepto</v>
      </c>
      <c r="K22" s="14" t="n">
        <f aca="false">IF($S22="","",INDEX('All reports'!$T$5:$T$249,$S22))</f>
        <v>11000</v>
      </c>
      <c r="L22" s="12" t="n">
        <f aca="false">IF($S22="","",INDEX('All reports'!$U$5:$U$249,$S22))</f>
        <v>2</v>
      </c>
      <c r="M22" s="15" t="n">
        <f aca="false">IF($S22="","",INDEX('All reports'!$Y$5:$Y$249,$S22))</f>
        <v>7</v>
      </c>
      <c r="N22" s="12" t="str">
        <f aca="false">IF($S22="","",IF(INDEX('All reports'!$N$5:$N$249,$S22)="","",INDEX('All reports'!$N$5:$N$249,$S22)))</f>
        <v>Exact</v>
      </c>
      <c r="O22" s="12" t="n">
        <f aca="false">IF($S22="","",COUNTIF('All reports'!$M$5:$M$249,INDEX('All reports'!$M$5:$M$249,$S22))-1)</f>
        <v>0</v>
      </c>
      <c r="P22" s="16" t="str">
        <f aca="false">IFERROR(HYPERLINK(INDEX('All reports'!$L$5:$L$249,$S22),"Open report"),"")</f>
        <v>Open report</v>
      </c>
      <c r="Q22" s="16" t="str">
        <f aca="false">IFERROR(HYPERLINK(INDEX('QC listings'!$H$5:$H$200,MATCH(INDEX('All reports'!$M$5:$M$249,$S22),'QC listings'!$A$5:$A$200,0)),"Open listing"),"")</f>
        <v>Open listing</v>
      </c>
      <c r="R22" s="6" t="str">
        <f aca="false">IF($S22="","",INDEX('All reports'!$AC$5:$AC$249,$S22))</f>
        <v>Link out; Trustified's written licence needed to display the report</v>
      </c>
      <c r="S22" s="17" t="n">
        <f aca="false">IFERROR(MATCH($A22,'All reports'!$AA$5:$AA$249,0),"")</f>
        <v>68</v>
      </c>
    </row>
    <row r="23" customFormat="false" ht="23.85" hidden="false" customHeight="false" outlineLevel="0" collapsed="false">
      <c r="A23" s="12" t="n">
        <v>19</v>
      </c>
      <c r="B23" s="6" t="str">
        <f aca="false">IF($S23="","",INDEX('All reports'!$B$5:$B$249,$S23))</f>
        <v>MDH</v>
      </c>
      <c r="C23" s="6" t="str">
        <f aca="false">IF($S23="","",INDEX('All reports'!$C$5:$C$249,$S23))</f>
        <v>Deggi Mirch</v>
      </c>
      <c r="D23" s="7" t="str">
        <f aca="false">IF($S23="","",INDEX('All reports'!$E$5:$E$249,$S23))</f>
        <v>Spices &amp; masala</v>
      </c>
      <c r="E23" s="12" t="str">
        <f aca="false">IF($S23="","",INDEX('All reports'!$F$5:$F$249,$S23))</f>
        <v>Failed</v>
      </c>
      <c r="F23" s="13" t="n">
        <f aca="false">IF($S23="","",IF(INDEX('All reports'!$G$5:$G$249,$S23)="","",INDEX('All reports'!$G$5:$G$249,$S23)))</f>
        <v>46229</v>
      </c>
      <c r="G23" s="6" t="str">
        <f aca="false">IF($S23="","",INDEX('All reports'!$I$5:$I$249,$S23))</f>
        <v>Eurofins</v>
      </c>
      <c r="H23" s="7" t="str">
        <f aca="false">IF($S23="","",IF(INDEX('All reports'!$H$5:$H$249,$S23)="","",INDEX('All reports'!$H$5:$H$249,$S23)))</f>
        <v>FA-359</v>
      </c>
      <c r="I23" s="7" t="str">
        <f aca="false">IF($S23="","",INDEX('All reports'!$J$5:$J$249,$S23))</f>
        <v>Trustified Pass/Fail</v>
      </c>
      <c r="J23" s="6" t="str">
        <f aca="false">IF($S23="","",SUBSTITUTE(TRIM(IF(INDEX('All reports'!$O$5:$O$249,$S23)="Y","Blinkit",IF(INDEX('All reports'!$O$5:$O$249,$S23)="?","Blinkit?",""))&amp;" "&amp;IF(INDEX('All reports'!$P$5:$P$249,$S23)="Y","Zepto",IF(INDEX('All reports'!$P$5:$P$249,$S23)="?","Zepto?",""))&amp;" "&amp;IF(INDEX('All reports'!$Q$5:$Q$249,$S23)="Y","Instamart",IF(INDEX('All reports'!$Q$5:$Q$249,$S23)="?","Instamart?",""))&amp;" "&amp;IF(INDEX('All reports'!$R$5:$R$249,$S23)="Y","BigBasket",IF(INDEX('All reports'!$R$5:$R$249,$S23)="?","BigBasket?","")))," "," · "))</f>
        <v>Blinkit · Zepto · BigBasket</v>
      </c>
      <c r="K23" s="14" t="n">
        <f aca="false">IF($S23="","",INDEX('All reports'!$T$5:$T$249,$S23))</f>
        <v>9428</v>
      </c>
      <c r="L23" s="12" t="n">
        <f aca="false">IF($S23="","",INDEX('All reports'!$U$5:$U$249,$S23))</f>
        <v>1</v>
      </c>
      <c r="M23" s="15" t="n">
        <f aca="false">IF($S23="","",INDEX('All reports'!$Y$5:$Y$249,$S23))</f>
        <v>7</v>
      </c>
      <c r="N23" s="12" t="str">
        <f aca="false">IF($S23="","",IF(INDEX('All reports'!$N$5:$N$249,$S23)="","",INDEX('All reports'!$N$5:$N$249,$S23)))</f>
        <v>Exact</v>
      </c>
      <c r="O23" s="12" t="n">
        <f aca="false">IF($S23="","",COUNTIF('All reports'!$M$5:$M$249,INDEX('All reports'!$M$5:$M$249,$S23))-1)</f>
        <v>0</v>
      </c>
      <c r="P23" s="16" t="str">
        <f aca="false">IFERROR(HYPERLINK(INDEX('All reports'!$L$5:$L$249,$S23),"Open report"),"")</f>
        <v>Open report</v>
      </c>
      <c r="Q23" s="16" t="str">
        <f aca="false">IFERROR(HYPERLINK(INDEX('QC listings'!$H$5:$H$200,MATCH(INDEX('All reports'!$M$5:$M$249,$S23),'QC listings'!$A$5:$A$200,0)),"Open listing"),"")</f>
        <v>Open listing</v>
      </c>
      <c r="R23" s="6" t="str">
        <f aca="false">IF($S23="","",INDEX('All reports'!$AC$5:$AC$249,$S23))</f>
        <v>Link out; licence needed to display; run the PRD publication gate first (negative verdict)</v>
      </c>
      <c r="S23" s="17" t="n">
        <f aca="false">IFERROR(MATCH($A23,'All reports'!$AA$5:$AA$249,0),"")</f>
        <v>53</v>
      </c>
    </row>
    <row r="24" customFormat="false" ht="23.85" hidden="false" customHeight="false" outlineLevel="0" collapsed="false">
      <c r="A24" s="12" t="n">
        <v>20</v>
      </c>
      <c r="B24" s="6" t="str">
        <f aca="false">IF($S24="","",INDEX('All reports'!$B$5:$B$249,$S24))</f>
        <v>Brooke Bond</v>
      </c>
      <c r="C24" s="6" t="str">
        <f aca="false">IF($S24="","",INDEX('All reports'!$C$5:$C$249,$S24))</f>
        <v>Taaza Tea</v>
      </c>
      <c r="D24" s="7" t="str">
        <f aca="false">IF($S24="","",INDEX('All reports'!$E$5:$E$249,$S24))</f>
        <v>Tea &amp; coffee</v>
      </c>
      <c r="E24" s="12" t="str">
        <f aca="false">IF($S24="","",INDEX('All reports'!$F$5:$F$249,$S24))</f>
        <v>Failed</v>
      </c>
      <c r="F24" s="13" t="n">
        <f aca="false">IF($S24="","",IF(INDEX('All reports'!$G$5:$G$249,$S24)="","",INDEX('All reports'!$G$5:$G$249,$S24)))</f>
        <v>46215</v>
      </c>
      <c r="G24" s="6" t="str">
        <f aca="false">IF($S24="","",INDEX('All reports'!$I$5:$I$249,$S24))</f>
        <v>Eurofins</v>
      </c>
      <c r="H24" s="7" t="str">
        <f aca="false">IF($S24="","",IF(INDEX('All reports'!$H$5:$H$249,$S24)="","",INDEX('All reports'!$H$5:$H$249,$S24)))</f>
        <v>E14B</v>
      </c>
      <c r="I24" s="7" t="str">
        <f aca="false">IF($S24="","",INDEX('All reports'!$J$5:$J$249,$S24))</f>
        <v>Trustified Pass/Fail</v>
      </c>
      <c r="J24" s="6" t="str">
        <f aca="false">IF($S24="","",SUBSTITUTE(TRIM(IF(INDEX('All reports'!$O$5:$O$249,$S24)="Y","Blinkit",IF(INDEX('All reports'!$O$5:$O$249,$S24)="?","Blinkit?",""))&amp;" "&amp;IF(INDEX('All reports'!$P$5:$P$249,$S24)="Y","Zepto",IF(INDEX('All reports'!$P$5:$P$249,$S24)="?","Zepto?",""))&amp;" "&amp;IF(INDEX('All reports'!$Q$5:$Q$249,$S24)="Y","Instamart",IF(INDEX('All reports'!$Q$5:$Q$249,$S24)="?","Instamart?",""))&amp;" "&amp;IF(INDEX('All reports'!$R$5:$R$249,$S24)="Y","BigBasket",IF(INDEX('All reports'!$R$5:$R$249,$S24)="?","BigBasket?","")))," "," · "))</f>
        <v>Blinkit · Zepto · BigBasket</v>
      </c>
      <c r="K24" s="14" t="n">
        <f aca="false">IF($S24="","",INDEX('All reports'!$T$5:$T$249,$S24))</f>
        <v>6869</v>
      </c>
      <c r="L24" s="12" t="n">
        <f aca="false">IF($S24="","",INDEX('All reports'!$U$5:$U$249,$S24))</f>
        <v>1</v>
      </c>
      <c r="M24" s="15" t="n">
        <f aca="false">IF($S24="","",INDEX('All reports'!$Y$5:$Y$249,$S24))</f>
        <v>7</v>
      </c>
      <c r="N24" s="12" t="str">
        <f aca="false">IF($S24="","",IF(INDEX('All reports'!$N$5:$N$249,$S24)="","",INDEX('All reports'!$N$5:$N$249,$S24)))</f>
        <v>Exact</v>
      </c>
      <c r="O24" s="12" t="n">
        <f aca="false">IF($S24="","",COUNTIF('All reports'!$M$5:$M$249,INDEX('All reports'!$M$5:$M$249,$S24))-1)</f>
        <v>0</v>
      </c>
      <c r="P24" s="16" t="str">
        <f aca="false">IFERROR(HYPERLINK(INDEX('All reports'!$L$5:$L$249,$S24),"Open report"),"")</f>
        <v>Open report</v>
      </c>
      <c r="Q24" s="16" t="str">
        <f aca="false">IFERROR(HYPERLINK(INDEX('QC listings'!$H$5:$H$200,MATCH(INDEX('All reports'!$M$5:$M$249,$S24),'QC listings'!$A$5:$A$200,0)),"Open listing"),"")</f>
        <v>Open listing</v>
      </c>
      <c r="R24" s="6" t="str">
        <f aca="false">IF($S24="","",INDEX('All reports'!$AC$5:$AC$249,$S24))</f>
        <v>Link out; licence needed to display; run the PRD publication gate first (negative verdict)</v>
      </c>
      <c r="S24" s="17" t="n">
        <f aca="false">IFERROR(MATCH($A24,'All reports'!$AA$5:$AA$249,0),"")</f>
        <v>58</v>
      </c>
    </row>
    <row r="25" customFormat="false" ht="23.85" hidden="false" customHeight="false" outlineLevel="0" collapsed="false">
      <c r="A25" s="12" t="n">
        <v>21</v>
      </c>
      <c r="B25" s="6" t="str">
        <f aca="false">IF($S25="","",INDEX('All reports'!$B$5:$B$249,$S25))</f>
        <v>Nescafé</v>
      </c>
      <c r="C25" s="6" t="str">
        <f aca="false">IF($S25="","",INDEX('All reports'!$C$5:$C$249,$S25))</f>
        <v>Classic</v>
      </c>
      <c r="D25" s="7" t="str">
        <f aca="false">IF($S25="","",INDEX('All reports'!$E$5:$E$249,$S25))</f>
        <v>Tea &amp; coffee</v>
      </c>
      <c r="E25" s="12" t="str">
        <f aca="false">IF($S25="","",INDEX('All reports'!$F$5:$F$249,$S25))</f>
        <v>Passed</v>
      </c>
      <c r="F25" s="13" t="n">
        <f aca="false">IF($S25="","",IF(INDEX('All reports'!$G$5:$G$249,$S25)="","",INDEX('All reports'!$G$5:$G$249,$S25)))</f>
        <v>45802</v>
      </c>
      <c r="G25" s="6" t="str">
        <f aca="false">IF($S25="","",INDEX('All reports'!$I$5:$I$249,$S25))</f>
        <v>Eurofins</v>
      </c>
      <c r="H25" s="7" t="str">
        <f aca="false">IF($S25="","",IF(INDEX('All reports'!$H$5:$H$249,$S25)="","",INDEX('All reports'!$H$5:$H$249,$S25)))</f>
        <v>43310452CA</v>
      </c>
      <c r="I25" s="7" t="str">
        <f aca="false">IF($S25="","",INDEX('All reports'!$J$5:$J$249,$S25))</f>
        <v>Trustified Pass/Fail</v>
      </c>
      <c r="J25" s="6" t="str">
        <f aca="false">IF($S25="","",SUBSTITUTE(TRIM(IF(INDEX('All reports'!$O$5:$O$249,$S25)="Y","Blinkit",IF(INDEX('All reports'!$O$5:$O$249,$S25)="?","Blinkit?",""))&amp;" "&amp;IF(INDEX('All reports'!$P$5:$P$249,$S25)="Y","Zepto",IF(INDEX('All reports'!$P$5:$P$249,$S25)="?","Zepto?",""))&amp;" "&amp;IF(INDEX('All reports'!$Q$5:$Q$249,$S25)="Y","Instamart",IF(INDEX('All reports'!$Q$5:$Q$249,$S25)="?","Instamart?",""))&amp;" "&amp;IF(INDEX('All reports'!$R$5:$R$249,$S25)="Y","BigBasket",IF(INDEX('All reports'!$R$5:$R$249,$S25)="?","BigBasket?","")))," "," · "))</f>
        <v>Blinkit · Zepto · Instamart · BigBasket</v>
      </c>
      <c r="K25" s="14" t="n">
        <f aca="false">IF($S25="","",INDEX('All reports'!$T$5:$T$249,$S25))</f>
        <v>4751</v>
      </c>
      <c r="L25" s="12" t="n">
        <f aca="false">IF($S25="","",INDEX('All reports'!$U$5:$U$249,$S25))</f>
        <v>1</v>
      </c>
      <c r="M25" s="15" t="n">
        <f aca="false">IF($S25="","",INDEX('All reports'!$Y$5:$Y$249,$S25))</f>
        <v>7</v>
      </c>
      <c r="N25" s="12" t="str">
        <f aca="false">IF($S25="","",IF(INDEX('All reports'!$N$5:$N$249,$S25)="","",INDEX('All reports'!$N$5:$N$249,$S25)))</f>
        <v>Exact</v>
      </c>
      <c r="O25" s="12" t="n">
        <f aca="false">IF($S25="","",COUNTIF('All reports'!$M$5:$M$249,INDEX('All reports'!$M$5:$M$249,$S25))-1)</f>
        <v>0</v>
      </c>
      <c r="P25" s="16" t="str">
        <f aca="false">IFERROR(HYPERLINK(INDEX('All reports'!$L$5:$L$249,$S25),"Open report"),"")</f>
        <v>Open report</v>
      </c>
      <c r="Q25" s="16" t="str">
        <f aca="false">IFERROR(HYPERLINK(INDEX('QC listings'!$H$5:$H$200,MATCH(INDEX('All reports'!$M$5:$M$249,$S25),'QC listings'!$A$5:$A$200,0)),"Open listing"),"")</f>
        <v>Open listing</v>
      </c>
      <c r="R25" s="6" t="str">
        <f aca="false">IF($S25="","",INDEX('All reports'!$AC$5:$AC$249,$S25))</f>
        <v>Link out; Trustified's written licence needed to display the report</v>
      </c>
      <c r="S25" s="17" t="n">
        <f aca="false">IFERROR(MATCH($A25,'All reports'!$AA$5:$AA$249,0),"")</f>
        <v>59</v>
      </c>
    </row>
    <row r="26" customFormat="false" ht="23.85" hidden="false" customHeight="false" outlineLevel="0" collapsed="false">
      <c r="A26" s="12" t="n">
        <v>22</v>
      </c>
      <c r="B26" s="6" t="str">
        <f aca="false">IF($S26="","",INDEX('All reports'!$B$5:$B$249,$S26))</f>
        <v>Kellogg's</v>
      </c>
      <c r="C26" s="6" t="str">
        <f aca="false">IF($S26="","",INDEX('All reports'!$C$5:$C$249,$S26))</f>
        <v>Corn Flakes</v>
      </c>
      <c r="D26" s="7" t="str">
        <f aca="false">IF($S26="","",INDEX('All reports'!$E$5:$E$249,$S26))</f>
        <v>Breakfast cereal &amp; oats</v>
      </c>
      <c r="E26" s="12" t="str">
        <f aca="false">IF($S26="","",INDEX('All reports'!$F$5:$F$249,$S26))</f>
        <v>Passed</v>
      </c>
      <c r="F26" s="13" t="n">
        <f aca="false">IF($S26="","",IF(INDEX('All reports'!$G$5:$G$249,$S26)="","",INDEX('All reports'!$G$5:$G$249,$S26)))</f>
        <v>45848</v>
      </c>
      <c r="G26" s="6" t="str">
        <f aca="false">IF($S26="","",INDEX('All reports'!$I$5:$I$249,$S26))</f>
        <v>Eurofins</v>
      </c>
      <c r="H26" s="7" t="str">
        <f aca="false">IF($S26="","",IF(INDEX('All reports'!$H$5:$H$249,$S26)="","",INDEX('All reports'!$H$5:$H$249,$S26)))</f>
        <v>T5B111124</v>
      </c>
      <c r="I26" s="7" t="str">
        <f aca="false">IF($S26="","",INDEX('All reports'!$J$5:$J$249,$S26))</f>
        <v>Trustified Pass/Fail</v>
      </c>
      <c r="J26" s="6" t="str">
        <f aca="false">IF($S26="","",SUBSTITUTE(TRIM(IF(INDEX('All reports'!$O$5:$O$249,$S26)="Y","Blinkit",IF(INDEX('All reports'!$O$5:$O$249,$S26)="?","Blinkit?",""))&amp;" "&amp;IF(INDEX('All reports'!$P$5:$P$249,$S26)="Y","Zepto",IF(INDEX('All reports'!$P$5:$P$249,$S26)="?","Zepto?",""))&amp;" "&amp;IF(INDEX('All reports'!$Q$5:$Q$249,$S26)="Y","Instamart",IF(INDEX('All reports'!$Q$5:$Q$249,$S26)="?","Instamart?",""))&amp;" "&amp;IF(INDEX('All reports'!$R$5:$R$249,$S26)="Y","BigBasket",IF(INDEX('All reports'!$R$5:$R$249,$S26)="?","BigBasket?","")))," "," · "))</f>
        <v>Blinkit · Zepto</v>
      </c>
      <c r="K26" s="14" t="n">
        <f aca="false">IF($S26="","",INDEX('All reports'!$T$5:$T$249,$S26))</f>
        <v>3400</v>
      </c>
      <c r="L26" s="12" t="n">
        <f aca="false">IF($S26="","",INDEX('All reports'!$U$5:$U$249,$S26))</f>
        <v>1</v>
      </c>
      <c r="M26" s="15" t="n">
        <f aca="false">IF($S26="","",INDEX('All reports'!$Y$5:$Y$249,$S26))</f>
        <v>5</v>
      </c>
      <c r="N26" s="12" t="str">
        <f aca="false">IF($S26="","",IF(INDEX('All reports'!$N$5:$N$249,$S26)="","",INDEX('All reports'!$N$5:$N$249,$S26)))</f>
        <v>Exact</v>
      </c>
      <c r="O26" s="12" t="n">
        <f aca="false">IF($S26="","",COUNTIF('All reports'!$M$5:$M$249,INDEX('All reports'!$M$5:$M$249,$S26))-1)</f>
        <v>1</v>
      </c>
      <c r="P26" s="16" t="str">
        <f aca="false">IFERROR(HYPERLINK(INDEX('All reports'!$L$5:$L$249,$S26),"Open report"),"")</f>
        <v>Open report</v>
      </c>
      <c r="Q26" s="16" t="str">
        <f aca="false">IFERROR(HYPERLINK(INDEX('QC listings'!$H$5:$H$200,MATCH(INDEX('All reports'!$M$5:$M$249,$S26),'QC listings'!$A$5:$A$200,0)),"Open listing"),"")</f>
        <v>Open listing</v>
      </c>
      <c r="R26" s="6" t="str">
        <f aca="false">IF($S26="","",INDEX('All reports'!$AC$5:$AC$249,$S26))</f>
        <v>Link out; Trustified's written licence needed to display the report</v>
      </c>
      <c r="S26" s="17" t="n">
        <f aca="false">IFERROR(MATCH($A26,'All reports'!$AA$5:$AA$249,0),"")</f>
        <v>64</v>
      </c>
    </row>
    <row r="27" customFormat="false" ht="23.85" hidden="false" customHeight="false" outlineLevel="0" collapsed="false">
      <c r="A27" s="12" t="n">
        <v>23</v>
      </c>
      <c r="B27" s="6" t="str">
        <f aca="false">IF($S27="","",INDEX('All reports'!$B$5:$B$249,$S27))</f>
        <v>Kissan</v>
      </c>
      <c r="C27" s="6" t="str">
        <f aca="false">IF($S27="","",INDEX('All reports'!$C$5:$C$249,$S27))</f>
        <v>Fresh Tomato Ketchup</v>
      </c>
      <c r="D27" s="7" t="str">
        <f aca="false">IF($S27="","",INDEX('All reports'!$E$5:$E$249,$S27))</f>
        <v>Ketchup &amp; sauces</v>
      </c>
      <c r="E27" s="12" t="str">
        <f aca="false">IF($S27="","",INDEX('All reports'!$F$5:$F$249,$S27))</f>
        <v>Passed</v>
      </c>
      <c r="F27" s="13" t="n">
        <f aca="false">IF($S27="","",IF(INDEX('All reports'!$G$5:$G$249,$S27)="","",INDEX('All reports'!$G$5:$G$249,$S27)))</f>
        <v>45977</v>
      </c>
      <c r="G27" s="6" t="str">
        <f aca="false">IF($S27="","",INDEX('All reports'!$I$5:$I$249,$S27))</f>
        <v>Eurofins</v>
      </c>
      <c r="H27" s="7" t="str">
        <f aca="false">IF($S27="","",IF(INDEX('All reports'!$H$5:$H$249,$S27)="","",INDEX('All reports'!$H$5:$H$249,$S27)))</f>
        <v>D1174</v>
      </c>
      <c r="I27" s="7" t="str">
        <f aca="false">IF($S27="","",INDEX('All reports'!$J$5:$J$249,$S27))</f>
        <v>Trustified Pass/Fail</v>
      </c>
      <c r="J27" s="6" t="str">
        <f aca="false">IF($S27="","",SUBSTITUTE(TRIM(IF(INDEX('All reports'!$O$5:$O$249,$S27)="Y","Blinkit",IF(INDEX('All reports'!$O$5:$O$249,$S27)="?","Blinkit?",""))&amp;" "&amp;IF(INDEX('All reports'!$P$5:$P$249,$S27)="Y","Zepto",IF(INDEX('All reports'!$P$5:$P$249,$S27)="?","Zepto?",""))&amp;" "&amp;IF(INDEX('All reports'!$Q$5:$Q$249,$S27)="Y","Instamart",IF(INDEX('All reports'!$Q$5:$Q$249,$S27)="?","Instamart?",""))&amp;" "&amp;IF(INDEX('All reports'!$R$5:$R$249,$S27)="Y","BigBasket",IF(INDEX('All reports'!$R$5:$R$249,$S27)="?","BigBasket?","")))," "," · "))</f>
        <v>Blinkit · Zepto · BigBasket</v>
      </c>
      <c r="K27" s="14" t="n">
        <f aca="false">IF($S27="","",INDEX('All reports'!$T$5:$T$249,$S27))</f>
        <v>0</v>
      </c>
      <c r="L27" s="12" t="n">
        <f aca="false">IF($S27="","",INDEX('All reports'!$U$5:$U$249,$S27))</f>
        <v>0</v>
      </c>
      <c r="M27" s="15" t="n">
        <f aca="false">IF($S27="","",INDEX('All reports'!$Y$5:$Y$249,$S27))</f>
        <v>5</v>
      </c>
      <c r="N27" s="12" t="str">
        <f aca="false">IF($S27="","",IF(INDEX('All reports'!$N$5:$N$249,$S27)="","",INDEX('All reports'!$N$5:$N$249,$S27)))</f>
        <v>Exact</v>
      </c>
      <c r="O27" s="12" t="n">
        <f aca="false">IF($S27="","",COUNTIF('All reports'!$M$5:$M$249,INDEX('All reports'!$M$5:$M$249,$S27))-1)</f>
        <v>0</v>
      </c>
      <c r="P27" s="16" t="str">
        <f aca="false">IFERROR(HYPERLINK(INDEX('All reports'!$L$5:$L$249,$S27),"Open report"),"")</f>
        <v>Open report</v>
      </c>
      <c r="Q27" s="16" t="str">
        <f aca="false">IFERROR(HYPERLINK(INDEX('QC listings'!$H$5:$H$200,MATCH(INDEX('All reports'!$M$5:$M$249,$S27),'QC listings'!$A$5:$A$200,0)),"Open listing"),"")</f>
        <v>Open listing</v>
      </c>
      <c r="R27" s="6" t="str">
        <f aca="false">IF($S27="","",INDEX('All reports'!$AC$5:$AC$249,$S27))</f>
        <v>Link out; Trustified's written licence needed to display the report</v>
      </c>
      <c r="S27" s="17" t="n">
        <f aca="false">IFERROR(MATCH($A27,'All reports'!$AA$5:$AA$249,0),"")</f>
        <v>70</v>
      </c>
    </row>
    <row r="28" customFormat="false" ht="23.85" hidden="false" customHeight="false" outlineLevel="0" collapsed="false">
      <c r="A28" s="12" t="n">
        <v>24</v>
      </c>
      <c r="B28" s="6" t="str">
        <f aca="false">IF($S28="","",INDEX('All reports'!$B$5:$B$249,$S28))</f>
        <v>Aashirvaad</v>
      </c>
      <c r="C28" s="6" t="str">
        <f aca="false">IF($S28="","",INDEX('All reports'!$C$5:$C$249,$S28))</f>
        <v>Svasti Pure Cow Ghee</v>
      </c>
      <c r="D28" s="7" t="str">
        <f aca="false">IF($S28="","",INDEX('All reports'!$E$5:$E$249,$S28))</f>
        <v>Ghee</v>
      </c>
      <c r="E28" s="12" t="str">
        <f aca="false">IF($S28="","",INDEX('All reports'!$F$5:$F$249,$S28))</f>
        <v>Failed</v>
      </c>
      <c r="F28" s="13" t="n">
        <f aca="false">IF($S28="","",IF(INDEX('All reports'!$G$5:$G$249,$S28)="","",INDEX('All reports'!$G$5:$G$249,$S28)))</f>
        <v>45859</v>
      </c>
      <c r="G28" s="6" t="str">
        <f aca="false">IF($S28="","",INDEX('All reports'!$I$5:$I$249,$S28))</f>
        <v>Eurofins</v>
      </c>
      <c r="H28" s="7" t="str">
        <f aca="false">IF($S28="","",IF(INDEX('All reports'!$H$5:$H$249,$S28)="","",INDEX('All reports'!$H$5:$H$249,$S28)))</f>
        <v>KCGA14ECP</v>
      </c>
      <c r="I28" s="7" t="str">
        <f aca="false">IF($S28="","",INDEX('All reports'!$J$5:$J$249,$S28))</f>
        <v>Trustified Pass/Fail</v>
      </c>
      <c r="J28" s="6" t="str">
        <f aca="false">IF($S28="","",SUBSTITUTE(TRIM(IF(INDEX('All reports'!$O$5:$O$249,$S28)="Y","Blinkit",IF(INDEX('All reports'!$O$5:$O$249,$S28)="?","Blinkit?",""))&amp;" "&amp;IF(INDEX('All reports'!$P$5:$P$249,$S28)="Y","Zepto",IF(INDEX('All reports'!$P$5:$P$249,$S28)="?","Zepto?",""))&amp;" "&amp;IF(INDEX('All reports'!$Q$5:$Q$249,$S28)="Y","Instamart",IF(INDEX('All reports'!$Q$5:$Q$249,$S28)="?","Instamart?",""))&amp;" "&amp;IF(INDEX('All reports'!$R$5:$R$249,$S28)="Y","BigBasket",IF(INDEX('All reports'!$R$5:$R$249,$S28)="?","BigBasket?","")))," "," · "))</f>
        <v>Zepto · Instamart · BigBasket</v>
      </c>
      <c r="K28" s="14" t="n">
        <f aca="false">IF($S28="","",INDEX('All reports'!$T$5:$T$249,$S28))</f>
        <v>5008</v>
      </c>
      <c r="L28" s="12" t="n">
        <f aca="false">IF($S28="","",INDEX('All reports'!$U$5:$U$249,$S28))</f>
        <v>1</v>
      </c>
      <c r="M28" s="15" t="n">
        <f aca="false">IF($S28="","",INDEX('All reports'!$Y$5:$Y$249,$S28))</f>
        <v>4.75</v>
      </c>
      <c r="N28" s="12" t="str">
        <f aca="false">IF($S28="","",IF(INDEX('All reports'!$N$5:$N$249,$S28)="","",INDEX('All reports'!$N$5:$N$249,$S28)))</f>
        <v>Same line</v>
      </c>
      <c r="O28" s="12" t="n">
        <f aca="false">IF($S28="","",COUNTIF('All reports'!$M$5:$M$249,INDEX('All reports'!$M$5:$M$249,$S28))-1)</f>
        <v>1</v>
      </c>
      <c r="P28" s="16" t="str">
        <f aca="false">IFERROR(HYPERLINK(INDEX('All reports'!$L$5:$L$249,$S28),"Open report"),"")</f>
        <v>Open report</v>
      </c>
      <c r="Q28" s="16" t="str">
        <f aca="false">IFERROR(HYPERLINK(INDEX('QC listings'!$H$5:$H$200,MATCH(INDEX('All reports'!$M$5:$M$249,$S28),'QC listings'!$A$5:$A$200,0)),"Open listing"),"")</f>
        <v>Open listing</v>
      </c>
      <c r="R28" s="6" t="str">
        <f aca="false">IF($S28="","",INDEX('All reports'!$AC$5:$AC$249,$S28))</f>
        <v>Link out; licence needed to display; run the PRD publication gate first (negative verdict)</v>
      </c>
      <c r="S28" s="17" t="n">
        <f aca="false">IFERROR(MATCH($A28,'All reports'!$AA$5:$AA$249,0),"")</f>
        <v>24</v>
      </c>
    </row>
    <row r="29" customFormat="false" ht="23.85" hidden="false" customHeight="false" outlineLevel="0" collapsed="false">
      <c r="A29" s="12" t="n">
        <v>25</v>
      </c>
      <c r="B29" s="6" t="str">
        <f aca="false">IF($S29="","",INDEX('All reports'!$B$5:$B$249,$S29))</f>
        <v>Britannia</v>
      </c>
      <c r="C29" s="6" t="str">
        <f aca="false">IF($S29="","",INDEX('All reports'!$C$5:$C$249,$S29))</f>
        <v>100% Whole Wheat Bread</v>
      </c>
      <c r="D29" s="7" t="str">
        <f aca="false">IF($S29="","",INDEX('All reports'!$E$5:$E$249,$S29))</f>
        <v>Bread</v>
      </c>
      <c r="E29" s="12" t="str">
        <f aca="false">IF($S29="","",INDEX('All reports'!$F$5:$F$249,$S29))</f>
        <v>Passed</v>
      </c>
      <c r="F29" s="13" t="n">
        <f aca="false">IF($S29="","",IF(INDEX('All reports'!$G$5:$G$249,$S29)="","",INDEX('All reports'!$G$5:$G$249,$S29)))</f>
        <v>45653</v>
      </c>
      <c r="G29" s="6" t="str">
        <f aca="false">IF($S29="","",INDEX('All reports'!$I$5:$I$249,$S29))</f>
        <v>Eurofins</v>
      </c>
      <c r="H29" s="7" t="str">
        <f aca="false">IF($S29="","",IF(INDEX('All reports'!$H$5:$H$249,$S29)="","",INDEX('All reports'!$H$5:$H$249,$S29)))</f>
        <v>M3S28</v>
      </c>
      <c r="I29" s="7" t="str">
        <f aca="false">IF($S29="","",INDEX('All reports'!$J$5:$J$249,$S29))</f>
        <v>Trustified Pass/Fail</v>
      </c>
      <c r="J29" s="6" t="str">
        <f aca="false">IF($S29="","",SUBSTITUTE(TRIM(IF(INDEX('All reports'!$O$5:$O$249,$S29)="Y","Blinkit",IF(INDEX('All reports'!$O$5:$O$249,$S29)="?","Blinkit?",""))&amp;" "&amp;IF(INDEX('All reports'!$P$5:$P$249,$S29)="Y","Zepto",IF(INDEX('All reports'!$P$5:$P$249,$S29)="?","Zepto?",""))&amp;" "&amp;IF(INDEX('All reports'!$Q$5:$Q$249,$S29)="Y","Instamart",IF(INDEX('All reports'!$Q$5:$Q$249,$S29)="?","Instamart?",""))&amp;" "&amp;IF(INDEX('All reports'!$R$5:$R$249,$S29)="Y","BigBasket",IF(INDEX('All reports'!$R$5:$R$249,$S29)="?","BigBasket?","")))," "," · "))</f>
        <v>Blinkit · Instamart · BigBasket</v>
      </c>
      <c r="K29" s="14" t="n">
        <f aca="false">IF($S29="","",INDEX('All reports'!$T$5:$T$249,$S29))</f>
        <v>0</v>
      </c>
      <c r="L29" s="12" t="n">
        <f aca="false">IF($S29="","",INDEX('All reports'!$U$5:$U$249,$S29))</f>
        <v>0</v>
      </c>
      <c r="M29" s="15" t="n">
        <f aca="false">IF($S29="","",INDEX('All reports'!$Y$5:$Y$249,$S29))</f>
        <v>4</v>
      </c>
      <c r="N29" s="12" t="str">
        <f aca="false">IF($S29="","",IF(INDEX('All reports'!$N$5:$N$249,$S29)="","",INDEX('All reports'!$N$5:$N$249,$S29)))</f>
        <v>Exact</v>
      </c>
      <c r="O29" s="12" t="n">
        <f aca="false">IF($S29="","",COUNTIF('All reports'!$M$5:$M$249,INDEX('All reports'!$M$5:$M$249,$S29))-1)</f>
        <v>0</v>
      </c>
      <c r="P29" s="16" t="str">
        <f aca="false">IFERROR(HYPERLINK(INDEX('All reports'!$L$5:$L$249,$S29),"Open report"),"")</f>
        <v>Open report</v>
      </c>
      <c r="Q29" s="16" t="str">
        <f aca="false">IFERROR(HYPERLINK(INDEX('QC listings'!$H$5:$H$200,MATCH(INDEX('All reports'!$M$5:$M$249,$S29),'QC listings'!$A$5:$A$200,0)),"Open listing"),"")</f>
        <v>Open listing</v>
      </c>
      <c r="R29" s="6" t="str">
        <f aca="false">IF($S29="","",INDEX('All reports'!$AC$5:$AC$249,$S29))</f>
        <v>Link out; Trustified's written licence needed to display the report</v>
      </c>
      <c r="S29" s="17" t="n">
        <f aca="false">IFERROR(MATCH($A29,'All reports'!$AA$5:$AA$249,0),"")</f>
        <v>43</v>
      </c>
    </row>
    <row r="30" customFormat="false" ht="23.85" hidden="false" customHeight="false" outlineLevel="0" collapsed="false">
      <c r="A30" s="12" t="n">
        <v>26</v>
      </c>
      <c r="B30" s="6" t="str">
        <f aca="false">IF($S30="","",INDEX('All reports'!$B$5:$B$249,$S30))</f>
        <v>Patanjali</v>
      </c>
      <c r="C30" s="6" t="str">
        <f aca="false">IF($S30="","",INDEX('All reports'!$C$5:$C$249,$S30))</f>
        <v>Honey</v>
      </c>
      <c r="D30" s="7" t="str">
        <f aca="false">IF($S30="","",INDEX('All reports'!$E$5:$E$249,$S30))</f>
        <v>Honey</v>
      </c>
      <c r="E30" s="12" t="str">
        <f aca="false">IF($S30="","",INDEX('All reports'!$F$5:$F$249,$S30))</f>
        <v>Report published</v>
      </c>
      <c r="F30" s="13" t="n">
        <f aca="false">IF($S30="","",IF(INDEX('All reports'!$G$5:$G$249,$S30)="","",INDEX('All reports'!$G$5:$G$249,$S30)))</f>
        <v>45752</v>
      </c>
      <c r="G30" s="6" t="str">
        <f aca="false">IF($S30="","",INDEX('All reports'!$I$5:$I$249,$S30))</f>
        <v>Eurofins</v>
      </c>
      <c r="H30" s="7" t="str">
        <f aca="false">IF($S30="","",IF(INDEX('All reports'!$H$5:$H$249,$S30)="","",INDEX('All reports'!$H$5:$H$249,$S30)))</f>
        <v>BCM2400071</v>
      </c>
      <c r="I30" s="7" t="str">
        <f aca="false">IF($S30="","",INDEX('All reports'!$J$5:$J$249,$S30))</f>
        <v>Trustified NMR</v>
      </c>
      <c r="J30" s="6" t="str">
        <f aca="false">IF($S30="","",SUBSTITUTE(TRIM(IF(INDEX('All reports'!$O$5:$O$249,$S30)="Y","Blinkit",IF(INDEX('All reports'!$O$5:$O$249,$S30)="?","Blinkit?",""))&amp;" "&amp;IF(INDEX('All reports'!$P$5:$P$249,$S30)="Y","Zepto",IF(INDEX('All reports'!$P$5:$P$249,$S30)="?","Zepto?",""))&amp;" "&amp;IF(INDEX('All reports'!$Q$5:$Q$249,$S30)="Y","Instamart",IF(INDEX('All reports'!$Q$5:$Q$249,$S30)="?","Instamart?",""))&amp;" "&amp;IF(INDEX('All reports'!$R$5:$R$249,$S30)="Y","BigBasket",IF(INDEX('All reports'!$R$5:$R$249,$S30)="?","BigBasket?","")))," "," · "))</f>
        <v>Blinkit? · Zepto</v>
      </c>
      <c r="K30" s="14" t="n">
        <f aca="false">IF($S30="","",INDEX('All reports'!$T$5:$T$249,$S30))</f>
        <v>6200</v>
      </c>
      <c r="L30" s="12" t="n">
        <f aca="false">IF($S30="","",INDEX('All reports'!$U$5:$U$249,$S30))</f>
        <v>1</v>
      </c>
      <c r="M30" s="15" t="n">
        <f aca="false">IF($S30="","",INDEX('All reports'!$Y$5:$Y$249,$S30))</f>
        <v>4</v>
      </c>
      <c r="N30" s="12" t="str">
        <f aca="false">IF($S30="","",IF(INDEX('All reports'!$N$5:$N$249,$S30)="","",INDEX('All reports'!$N$5:$N$249,$S30)))</f>
        <v>Exact</v>
      </c>
      <c r="O30" s="12" t="n">
        <f aca="false">IF($S30="","",COUNTIF('All reports'!$M$5:$M$249,INDEX('All reports'!$M$5:$M$249,$S30))-1)</f>
        <v>0</v>
      </c>
      <c r="P30" s="16" t="str">
        <f aca="false">IFERROR(HYPERLINK(INDEX('All reports'!$L$5:$L$249,$S30),"Open report"),"")</f>
        <v>Open report</v>
      </c>
      <c r="Q30" s="16" t="str">
        <f aca="false">IFERROR(HYPERLINK(INDEX('QC listings'!$H$5:$H$200,MATCH(INDEX('All reports'!$M$5:$M$249,$S30),'QC listings'!$A$5:$A$200,0)),"Open listing"),"")</f>
        <v>Open listing</v>
      </c>
      <c r="R30" s="6" t="str">
        <f aca="false">IF($S30="","",INDEX('All reports'!$AC$5:$AC$249,$S30))</f>
        <v>Link out; Trustified's written licence needed to display the report</v>
      </c>
      <c r="S30" s="17" t="n">
        <f aca="false">IFERROR(MATCH($A30,'All reports'!$AA$5:$AA$249,0),"")</f>
        <v>114</v>
      </c>
    </row>
    <row r="31" customFormat="false" ht="23.85" hidden="false" customHeight="false" outlineLevel="0" collapsed="false">
      <c r="A31" s="12" t="n">
        <v>27</v>
      </c>
      <c r="B31" s="6" t="str">
        <f aca="false">IF($S31="","",INDEX('All reports'!$B$5:$B$249,$S31))</f>
        <v>Sundrop</v>
      </c>
      <c r="C31" s="6" t="str">
        <f aca="false">IF($S31="","",INDEX('All reports'!$C$5:$C$249,$S31))</f>
        <v>Peanut Butter</v>
      </c>
      <c r="D31" s="7" t="str">
        <f aca="false">IF($S31="","",INDEX('All reports'!$E$5:$E$249,$S31))</f>
        <v>Peanut butter</v>
      </c>
      <c r="E31" s="12" t="str">
        <f aca="false">IF($S31="","",INDEX('All reports'!$F$5:$F$249,$S31))</f>
        <v>Failed</v>
      </c>
      <c r="F31" s="13" t="n">
        <f aca="false">IF($S31="","",IF(INDEX('All reports'!$G$5:$G$249,$S31)="","",INDEX('All reports'!$G$5:$G$249,$S31)))</f>
        <v>45574</v>
      </c>
      <c r="G31" s="6" t="str">
        <f aca="false">IF($S31="","",INDEX('All reports'!$I$5:$I$249,$S31))</f>
        <v>Eurofins</v>
      </c>
      <c r="H31" s="7" t="str">
        <f aca="false">IF($S31="","",IF(INDEX('All reports'!$H$5:$H$249,$S31)="","",INDEX('All reports'!$H$5:$H$249,$S31)))</f>
        <v>106PB194W</v>
      </c>
      <c r="I31" s="7" t="str">
        <f aca="false">IF($S31="","",INDEX('All reports'!$J$5:$J$249,$S31))</f>
        <v>Trustified Pass/Fail</v>
      </c>
      <c r="J31" s="6" t="str">
        <f aca="false">IF($S31="","",SUBSTITUTE(TRIM(IF(INDEX('All reports'!$O$5:$O$249,$S31)="Y","Blinkit",IF(INDEX('All reports'!$O$5:$O$249,$S31)="?","Blinkit?",""))&amp;" "&amp;IF(INDEX('All reports'!$P$5:$P$249,$S31)="Y","Zepto",IF(INDEX('All reports'!$P$5:$P$249,$S31)="?","Zepto?",""))&amp;" "&amp;IF(INDEX('All reports'!$Q$5:$Q$249,$S31)="Y","Instamart",IF(INDEX('All reports'!$Q$5:$Q$249,$S31)="?","Instamart?",""))&amp;" "&amp;IF(INDEX('All reports'!$R$5:$R$249,$S31)="Y","BigBasket",IF(INDEX('All reports'!$R$5:$R$249,$S31)="?","BigBasket?","")))," "," · "))</f>
        <v>Blinkit · Zepto</v>
      </c>
      <c r="K31" s="14" t="n">
        <f aca="false">IF($S31="","",INDEX('All reports'!$T$5:$T$249,$S31))</f>
        <v>1800</v>
      </c>
      <c r="L31" s="12" t="n">
        <f aca="false">IF($S31="","",INDEX('All reports'!$U$5:$U$249,$S31))</f>
        <v>1</v>
      </c>
      <c r="M31" s="15" t="n">
        <f aca="false">IF($S31="","",INDEX('All reports'!$Y$5:$Y$249,$S31))</f>
        <v>4</v>
      </c>
      <c r="N31" s="12" t="str">
        <f aca="false">IF($S31="","",IF(INDEX('All reports'!$N$5:$N$249,$S31)="","",INDEX('All reports'!$N$5:$N$249,$S31)))</f>
        <v>Same line</v>
      </c>
      <c r="O31" s="12" t="n">
        <f aca="false">IF($S31="","",COUNTIF('All reports'!$M$5:$M$249,INDEX('All reports'!$M$5:$M$249,$S31))-1)</f>
        <v>1</v>
      </c>
      <c r="P31" s="16" t="str">
        <f aca="false">IFERROR(HYPERLINK(INDEX('All reports'!$L$5:$L$249,$S31),"Open report"),"")</f>
        <v>Open report</v>
      </c>
      <c r="Q31" s="16" t="str">
        <f aca="false">IFERROR(HYPERLINK(INDEX('QC listings'!$H$5:$H$200,MATCH(INDEX('All reports'!$M$5:$M$249,$S31),'QC listings'!$A$5:$A$200,0)),"Open listing"),"")</f>
        <v>Open listing</v>
      </c>
      <c r="R31" s="6" t="str">
        <f aca="false">IF($S31="","",INDEX('All reports'!$AC$5:$AC$249,$S31))</f>
        <v>Link out; licence needed to display; run the PRD publication gate first (negative verdict)</v>
      </c>
      <c r="S31" s="17" t="n">
        <f aca="false">IFERROR(MATCH($A31,'All reports'!$AA$5:$AA$249,0),"")</f>
        <v>107</v>
      </c>
    </row>
    <row r="32" customFormat="false" ht="23.85" hidden="false" customHeight="false" outlineLevel="0" collapsed="false">
      <c r="A32" s="12" t="n">
        <v>28</v>
      </c>
      <c r="B32" s="6" t="str">
        <f aca="false">IF($S32="","",INDEX('All reports'!$B$5:$B$249,$S32))</f>
        <v>Amul</v>
      </c>
      <c r="C32" s="6" t="str">
        <f aca="false">IF($S32="","",INDEX('All reports'!$C$5:$C$249,$S32))</f>
        <v>Cow Ghee</v>
      </c>
      <c r="D32" s="7" t="str">
        <f aca="false">IF($S32="","",INDEX('All reports'!$E$5:$E$249,$S32))</f>
        <v>Ghee</v>
      </c>
      <c r="E32" s="12" t="str">
        <f aca="false">IF($S32="","",INDEX('All reports'!$F$5:$F$249,$S32))</f>
        <v>Failed</v>
      </c>
      <c r="F32" s="13" t="n">
        <f aca="false">IF($S32="","",IF(INDEX('All reports'!$G$5:$G$249,$S32)="","",INDEX('All reports'!$G$5:$G$249,$S32)))</f>
        <v>45669</v>
      </c>
      <c r="G32" s="6" t="str">
        <f aca="false">IF($S32="","",INDEX('All reports'!$I$5:$I$249,$S32))</f>
        <v>Eurofins</v>
      </c>
      <c r="H32" s="7" t="str">
        <f aca="false">IF($S32="","",IF(INDEX('All reports'!$H$5:$H$249,$S32)="","",INDEX('All reports'!$H$5:$H$249,$S32)))</f>
        <v>MVN2722A</v>
      </c>
      <c r="I32" s="7" t="str">
        <f aca="false">IF($S32="","",INDEX('All reports'!$J$5:$J$249,$S32))</f>
        <v>Trustified Pass/Fail</v>
      </c>
      <c r="J32" s="6" t="str">
        <f aca="false">IF($S32="","",SUBSTITUTE(TRIM(IF(INDEX('All reports'!$O$5:$O$249,$S32)="Y","Blinkit",IF(INDEX('All reports'!$O$5:$O$249,$S32)="?","Blinkit?",""))&amp;" "&amp;IF(INDEX('All reports'!$P$5:$P$249,$S32)="Y","Zepto",IF(INDEX('All reports'!$P$5:$P$249,$S32)="?","Zepto?",""))&amp;" "&amp;IF(INDEX('All reports'!$Q$5:$Q$249,$S32)="Y","Instamart",IF(INDEX('All reports'!$Q$5:$Q$249,$S32)="?","Instamart?",""))&amp;" "&amp;IF(INDEX('All reports'!$R$5:$R$249,$S32)="Y","BigBasket",IF(INDEX('All reports'!$R$5:$R$249,$S32)="?","BigBasket?","")))," "," · "))</f>
        <v>Zepto · Instamart · BigBasket</v>
      </c>
      <c r="K32" s="14" t="n">
        <f aca="false">IF($S32="","",INDEX('All reports'!$T$5:$T$249,$S32))</f>
        <v>0</v>
      </c>
      <c r="L32" s="12" t="n">
        <f aca="false">IF($S32="","",INDEX('All reports'!$U$5:$U$249,$S32))</f>
        <v>0</v>
      </c>
      <c r="M32" s="15" t="n">
        <f aca="false">IF($S32="","",INDEX('All reports'!$Y$5:$Y$249,$S32))</f>
        <v>3.25</v>
      </c>
      <c r="N32" s="12" t="str">
        <f aca="false">IF($S32="","",IF(INDEX('All reports'!$N$5:$N$249,$S32)="","",INDEX('All reports'!$N$5:$N$249,$S32)))</f>
        <v>Same line</v>
      </c>
      <c r="O32" s="12" t="n">
        <f aca="false">IF($S32="","",COUNTIF('All reports'!$M$5:$M$249,INDEX('All reports'!$M$5:$M$249,$S32))-1)</f>
        <v>1</v>
      </c>
      <c r="P32" s="16" t="str">
        <f aca="false">IFERROR(HYPERLINK(INDEX('All reports'!$L$5:$L$249,$S32),"Open report"),"")</f>
        <v>Open report</v>
      </c>
      <c r="Q32" s="16" t="str">
        <f aca="false">IFERROR(HYPERLINK(INDEX('QC listings'!$H$5:$H$200,MATCH(INDEX('All reports'!$M$5:$M$249,$S32),'QC listings'!$A$5:$A$200,0)),"Open listing"),"")</f>
        <v>Open listing</v>
      </c>
      <c r="R32" s="6" t="str">
        <f aca="false">IF($S32="","",INDEX('All reports'!$AC$5:$AC$249,$S32))</f>
        <v>Link out; licence needed to display; run the PRD publication gate first (negative verdict)</v>
      </c>
      <c r="S32" s="17" t="n">
        <f aca="false">IFERROR(MATCH($A32,'All reports'!$AA$5:$AA$249,0),"")</f>
        <v>25</v>
      </c>
    </row>
    <row r="33" customFormat="false" ht="23.85" hidden="false" customHeight="false" outlineLevel="0" collapsed="false">
      <c r="A33" s="12" t="n">
        <v>29</v>
      </c>
      <c r="B33" s="6" t="str">
        <f aca="false">IF($S33="","",INDEX('All reports'!$B$5:$B$249,$S33))</f>
        <v>Saffola</v>
      </c>
      <c r="C33" s="6" t="str">
        <f aca="false">IF($S33="","",INDEX('All reports'!$C$5:$C$249,$S33))</f>
        <v>Honey Sundarbans</v>
      </c>
      <c r="D33" s="7" t="str">
        <f aca="false">IF($S33="","",INDEX('All reports'!$E$5:$E$249,$S33))</f>
        <v>Honey</v>
      </c>
      <c r="E33" s="12" t="str">
        <f aca="false">IF($S33="","",INDEX('All reports'!$F$5:$F$249,$S33))</f>
        <v>Report published</v>
      </c>
      <c r="F33" s="13" t="n">
        <f aca="false">IF($S33="","",IF(INDEX('All reports'!$G$5:$G$249,$S33)="","",INDEX('All reports'!$G$5:$G$249,$S33)))</f>
        <v>45734</v>
      </c>
      <c r="G33" s="6" t="str">
        <f aca="false">IF($S33="","",INDEX('All reports'!$I$5:$I$249,$S33))</f>
        <v>Eurofins</v>
      </c>
      <c r="H33" s="7" t="str">
        <f aca="false">IF($S33="","",IF(INDEX('All reports'!$H$5:$H$249,$S33)="","",INDEX('All reports'!$H$5:$H$249,$S33)))</f>
        <v>NA266</v>
      </c>
      <c r="I33" s="7" t="str">
        <f aca="false">IF($S33="","",INDEX('All reports'!$J$5:$J$249,$S33))</f>
        <v>Trustified NMR</v>
      </c>
      <c r="J33" s="6" t="str">
        <f aca="false">IF($S33="","",SUBSTITUTE(TRIM(IF(INDEX('All reports'!$O$5:$O$249,$S33)="Y","Blinkit",IF(INDEX('All reports'!$O$5:$O$249,$S33)="?","Blinkit?",""))&amp;" "&amp;IF(INDEX('All reports'!$P$5:$P$249,$S33)="Y","Zepto",IF(INDEX('All reports'!$P$5:$P$249,$S33)="?","Zepto?",""))&amp;" "&amp;IF(INDEX('All reports'!$Q$5:$Q$249,$S33)="Y","Instamart",IF(INDEX('All reports'!$Q$5:$Q$249,$S33)="?","Instamart?",""))&amp;" "&amp;IF(INDEX('All reports'!$R$5:$R$249,$S33)="Y","BigBasket",IF(INDEX('All reports'!$R$5:$R$249,$S33)="?","BigBasket?","")))," "," · "))</f>
        <v>Blinkit · Zepto</v>
      </c>
      <c r="K33" s="14" t="n">
        <f aca="false">IF($S33="","",INDEX('All reports'!$T$5:$T$249,$S33))</f>
        <v>6143</v>
      </c>
      <c r="L33" s="12" t="n">
        <f aca="false">IF($S33="","",INDEX('All reports'!$U$5:$U$249,$S33))</f>
        <v>1</v>
      </c>
      <c r="M33" s="15" t="n">
        <f aca="false">IF($S33="","",INDEX('All reports'!$Y$5:$Y$249,$S33))</f>
        <v>3</v>
      </c>
      <c r="N33" s="12" t="str">
        <f aca="false">IF($S33="","",IF(INDEX('All reports'!$N$5:$N$249,$S33)="","",INDEX('All reports'!$N$5:$N$249,$S33)))</f>
        <v>Variant differs</v>
      </c>
      <c r="O33" s="12" t="n">
        <f aca="false">IF($S33="","",COUNTIF('All reports'!$M$5:$M$249,INDEX('All reports'!$M$5:$M$249,$S33))-1)</f>
        <v>1</v>
      </c>
      <c r="P33" s="16" t="str">
        <f aca="false">IFERROR(HYPERLINK(INDEX('All reports'!$L$5:$L$249,$S33),"Open report"),"")</f>
        <v>Open report</v>
      </c>
      <c r="Q33" s="16" t="str">
        <f aca="false">IFERROR(HYPERLINK(INDEX('QC listings'!$H$5:$H$200,MATCH(INDEX('All reports'!$M$5:$M$249,$S33),'QC listings'!$A$5:$A$200,0)),"Open listing"),"")</f>
        <v>Open listing</v>
      </c>
      <c r="R33" s="6" t="str">
        <f aca="false">IF($S33="","",INDEX('All reports'!$AC$5:$AC$249,$S33))</f>
        <v>Link out; Trustified's written licence needed to display the report</v>
      </c>
      <c r="S33" s="17" t="n">
        <f aca="false">IFERROR(MATCH($A33,'All reports'!$AA$5:$AA$249,0),"")</f>
        <v>115</v>
      </c>
    </row>
    <row r="34" customFormat="false" ht="23.85" hidden="false" customHeight="false" outlineLevel="0" collapsed="false">
      <c r="A34" s="12" t="n">
        <v>30</v>
      </c>
      <c r="B34" s="6" t="str">
        <f aca="false">IF($S34="","",INDEX('All reports'!$B$5:$B$249,$S34))</f>
        <v>The Whole Truth</v>
      </c>
      <c r="C34" s="6" t="str">
        <f aca="false">IF($S34="","",INDEX('All reports'!$C$5:$C$249,$S34))</f>
        <v>Whey Protein – Light Cocoa 24 g</v>
      </c>
      <c r="D34" s="7" t="str">
        <f aca="false">IF($S34="","",INDEX('All reports'!$E$5:$E$249,$S34))</f>
        <v>Whey protein</v>
      </c>
      <c r="E34" s="12" t="str">
        <f aca="false">IF($S34="","",INDEX('All reports'!$F$5:$F$249,$S34))</f>
        <v>Report published</v>
      </c>
      <c r="F34" s="13" t="n">
        <f aca="false">IF($S34="","",IF(INDEX('All reports'!$G$5:$G$249,$S34)="","",INDEX('All reports'!$G$5:$G$249,$S34)))</f>
        <v>46286</v>
      </c>
      <c r="G34" s="6" t="str">
        <f aca="false">IF($S34="","",INDEX('All reports'!$I$5:$I$249,$S34))</f>
        <v>NABL lab (named in each PDF)</v>
      </c>
      <c r="H34" s="7" t="str">
        <f aca="false">IF($S34="","",IF(INDEX('All reports'!$H$5:$H$249,$S34)="","",INDEX('All reports'!$H$5:$H$249,$S34)))</f>
        <v>ZW2639CZBB (sub-batches A–F)</v>
      </c>
      <c r="I34" s="7" t="str">
        <f aca="false">IF($S34="","",INDEX('All reports'!$J$5:$J$249,$S34))</f>
        <v>The Whole Truth hub</v>
      </c>
      <c r="J34" s="6" t="str">
        <f aca="false">IF($S34="","",SUBSTITUTE(TRIM(IF(INDEX('All reports'!$O$5:$O$249,$S34)="Y","Blinkit",IF(INDEX('All reports'!$O$5:$O$249,$S34)="?","Blinkit?",""))&amp;" "&amp;IF(INDEX('All reports'!$P$5:$P$249,$S34)="Y","Zepto",IF(INDEX('All reports'!$P$5:$P$249,$S34)="?","Zepto?",""))&amp;" "&amp;IF(INDEX('All reports'!$Q$5:$Q$249,$S34)="Y","Instamart",IF(INDEX('All reports'!$Q$5:$Q$249,$S34)="?","Instamart?",""))&amp;" "&amp;IF(INDEX('All reports'!$R$5:$R$249,$S34)="Y","BigBasket",IF(INDEX('All reports'!$R$5:$R$249,$S34)="?","BigBasket?","")))," "," · "))</f>
        <v>Zepto</v>
      </c>
      <c r="K34" s="14" t="n">
        <f aca="false">IF($S34="","",INDEX('All reports'!$T$5:$T$249,$S34))</f>
        <v>0</v>
      </c>
      <c r="L34" s="12" t="n">
        <f aca="false">IF($S34="","",INDEX('All reports'!$U$5:$U$249,$S34))</f>
        <v>0</v>
      </c>
      <c r="M34" s="15" t="n">
        <f aca="false">IF($S34="","",INDEX('All reports'!$Y$5:$Y$249,$S34))</f>
        <v>3</v>
      </c>
      <c r="N34" s="12" t="str">
        <f aca="false">IF($S34="","",IF(INDEX('All reports'!$N$5:$N$249,$S34)="","",INDEX('All reports'!$N$5:$N$249,$S34)))</f>
        <v>Exact</v>
      </c>
      <c r="O34" s="12" t="n">
        <f aca="false">IF($S34="","",COUNTIF('All reports'!$M$5:$M$249,INDEX('All reports'!$M$5:$M$249,$S34))-1)</f>
        <v>0</v>
      </c>
      <c r="P34" s="16" t="str">
        <f aca="false">IFERROR(HYPERLINK(INDEX('All reports'!$L$5:$L$249,$S34),"Open report"),"")</f>
        <v>Open report</v>
      </c>
      <c r="Q34" s="16" t="str">
        <f aca="false">IFERROR(HYPERLINK(INDEX('QC listings'!$H$5:$H$200,MATCH(INDEX('All reports'!$M$5:$M$249,$S34),'QC listings'!$A$5:$A$200,0)),"Open listing"),"")</f>
        <v>Open listing</v>
      </c>
      <c r="R34" s="6" t="str">
        <f aca="false">IF($S34="","",INDEX('All reports'!$AC$5:$AC$249,$S34))</f>
        <v>Brand-published report: link out to the PDF; ask the brand before reusing content</v>
      </c>
      <c r="S34" s="17" t="n">
        <f aca="false">IFERROR(MATCH($A34,'All reports'!$AA$5:$AA$249,0),"")</f>
        <v>172</v>
      </c>
    </row>
    <row r="35" customFormat="false" ht="23.85" hidden="false" customHeight="false" outlineLevel="0" collapsed="false">
      <c r="A35" s="12" t="n">
        <v>31</v>
      </c>
      <c r="B35" s="6" t="str">
        <f aca="false">IF($S35="","",INDEX('All reports'!$B$5:$B$249,$S35))</f>
        <v>Yogabar</v>
      </c>
      <c r="C35" s="6" t="str">
        <f aca="false">IF($S35="","",INDEX('All reports'!$C$5:$C$249,$S35))</f>
        <v>20 g Protein Bar – Chocolate Brownie</v>
      </c>
      <c r="D35" s="7" t="str">
        <f aca="false">IF($S35="","",INDEX('All reports'!$E$5:$E$249,$S35))</f>
        <v>Protein bar</v>
      </c>
      <c r="E35" s="12" t="str">
        <f aca="false">IF($S35="","",INDEX('All reports'!$F$5:$F$249,$S35))</f>
        <v>Expired</v>
      </c>
      <c r="F35" s="13" t="str">
        <f aca="false">IF($S35="","",IF(INDEX('All reports'!$G$5:$G$249,$S35)="","",INDEX('All reports'!$G$5:$G$249,$S35)))</f>
        <v/>
      </c>
      <c r="G35" s="6" t="str">
        <f aca="false">IF($S35="","",INDEX('All reports'!$I$5:$I$249,$S35))</f>
        <v>NABL labs (up to 3 per sample)</v>
      </c>
      <c r="H35" s="7" t="str">
        <f aca="false">IF($S35="","",IF(INDEX('All reports'!$H$5:$H$249,$S35)="","",INDEX('All reports'!$H$5:$H$249,$S35)))</f>
        <v/>
      </c>
      <c r="I35" s="7" t="str">
        <f aca="false">IF($S35="","",INDEX('All reports'!$J$5:$J$249,$S35))</f>
        <v>Unbox Health</v>
      </c>
      <c r="J35" s="6" t="str">
        <f aca="false">IF($S35="","",SUBSTITUTE(TRIM(IF(INDEX('All reports'!$O$5:$O$249,$S35)="Y","Blinkit",IF(INDEX('All reports'!$O$5:$O$249,$S35)="?","Blinkit?",""))&amp;" "&amp;IF(INDEX('All reports'!$P$5:$P$249,$S35)="Y","Zepto",IF(INDEX('All reports'!$P$5:$P$249,$S35)="?","Zepto?",""))&amp;" "&amp;IF(INDEX('All reports'!$Q$5:$Q$249,$S35)="Y","Instamart",IF(INDEX('All reports'!$Q$5:$Q$249,$S35)="?","Instamart?",""))&amp;" "&amp;IF(INDEX('All reports'!$R$5:$R$249,$S35)="Y","BigBasket",IF(INDEX('All reports'!$R$5:$R$249,$S35)="?","BigBasket?","")))," "," · "))</f>
        <v>Blinkit · Zepto</v>
      </c>
      <c r="K35" s="14" t="n">
        <f aca="false">IF($S35="","",INDEX('All reports'!$T$5:$T$249,$S35))</f>
        <v>9142</v>
      </c>
      <c r="L35" s="12" t="n">
        <f aca="false">IF($S35="","",INDEX('All reports'!$U$5:$U$249,$S35))</f>
        <v>1</v>
      </c>
      <c r="M35" s="15" t="n">
        <f aca="false">IF($S35="","",INDEX('All reports'!$Y$5:$Y$249,$S35))</f>
        <v>2</v>
      </c>
      <c r="N35" s="12" t="str">
        <f aca="false">IF($S35="","",IF(INDEX('All reports'!$N$5:$N$249,$S35)="","",INDEX('All reports'!$N$5:$N$249,$S35)))</f>
        <v>Variant differs</v>
      </c>
      <c r="O35" s="12" t="n">
        <f aca="false">IF($S35="","",COUNTIF('All reports'!$M$5:$M$249,INDEX('All reports'!$M$5:$M$249,$S35))-1)</f>
        <v>0</v>
      </c>
      <c r="P35" s="16" t="str">
        <f aca="false">IFERROR(HYPERLINK(INDEX('All reports'!$L$5:$L$249,$S35),"Open report"),"")</f>
        <v>Open report</v>
      </c>
      <c r="Q35" s="16" t="str">
        <f aca="false">IFERROR(HYPERLINK(INDEX('QC listings'!$H$5:$H$200,MATCH(INDEX('All reports'!$M$5:$M$249,$S35),'QC listings'!$A$5:$A$200,0)),"Open listing"),"")</f>
        <v>Open listing</v>
      </c>
      <c r="R35" s="6" t="str">
        <f aca="false">IF($S35="","",INDEX('All reports'!$AC$5:$AC$249,$S35))</f>
        <v>Competitor rating: link out only; full report needs a free login</v>
      </c>
      <c r="S35" s="17" t="n">
        <f aca="false">IFERROR(MATCH($A35,'All reports'!$AA$5:$AA$249,0),"")</f>
        <v>128</v>
      </c>
    </row>
    <row r="36" customFormat="false" ht="23.85" hidden="false" customHeight="false" outlineLevel="0" collapsed="false">
      <c r="A36" s="12" t="n">
        <v>32</v>
      </c>
      <c r="B36" s="6" t="str">
        <f aca="false">IF($S36="","",INDEX('All reports'!$B$5:$B$249,$S36))</f>
        <v>Cadbury</v>
      </c>
      <c r="C36" s="6" t="str">
        <f aca="false">IF($S36="","",INDEX('All reports'!$C$5:$C$249,$S36))</f>
        <v>Bournville Intense 70% Dark</v>
      </c>
      <c r="D36" s="7" t="str">
        <f aca="false">IF($S36="","",INDEX('All reports'!$E$5:$E$249,$S36))</f>
        <v>Chocolate &amp; cocoa</v>
      </c>
      <c r="E36" s="12" t="str">
        <f aca="false">IF($S36="","",INDEX('All reports'!$F$5:$F$249,$S36))</f>
        <v>Passed</v>
      </c>
      <c r="F36" s="13" t="n">
        <f aca="false">IF($S36="","",IF(INDEX('All reports'!$G$5:$G$249,$S36)="","",INDEX('All reports'!$G$5:$G$249,$S36)))</f>
        <v>45688</v>
      </c>
      <c r="G36" s="6" t="str">
        <f aca="false">IF($S36="","",INDEX('All reports'!$I$5:$I$249,$S36))</f>
        <v>Eurofins</v>
      </c>
      <c r="H36" s="7" t="str">
        <f aca="false">IF($S36="","",IF(INDEX('All reports'!$H$5:$H$249,$S36)="","",INDEX('All reports'!$H$5:$H$249,$S36)))</f>
        <v>F41023A</v>
      </c>
      <c r="I36" s="7" t="str">
        <f aca="false">IF($S36="","",INDEX('All reports'!$J$5:$J$249,$S36))</f>
        <v>Trustified Pass/Fail</v>
      </c>
      <c r="J36" s="6" t="str">
        <f aca="false">IF($S36="","",SUBSTITUTE(TRIM(IF(INDEX('All reports'!$O$5:$O$249,$S36)="Y","Blinkit",IF(INDEX('All reports'!$O$5:$O$249,$S36)="?","Blinkit?",""))&amp;" "&amp;IF(INDEX('All reports'!$P$5:$P$249,$S36)="Y","Zepto",IF(INDEX('All reports'!$P$5:$P$249,$S36)="?","Zepto?",""))&amp;" "&amp;IF(INDEX('All reports'!$Q$5:$Q$249,$S36)="Y","Instamart",IF(INDEX('All reports'!$Q$5:$Q$249,$S36)="?","Instamart?",""))&amp;" "&amp;IF(INDEX('All reports'!$R$5:$R$249,$S36)="Y","BigBasket",IF(INDEX('All reports'!$R$5:$R$249,$S36)="?","BigBasket?","")))," "," · "))</f>
        <v>Blinkit</v>
      </c>
      <c r="K36" s="14" t="n">
        <f aca="false">IF($S36="","",INDEX('All reports'!$T$5:$T$249,$S36))</f>
        <v>0</v>
      </c>
      <c r="L36" s="12" t="n">
        <f aca="false">IF($S36="","",INDEX('All reports'!$U$5:$U$249,$S36))</f>
        <v>0</v>
      </c>
      <c r="M36" s="15" t="n">
        <f aca="false">IF($S36="","",INDEX('All reports'!$Y$5:$Y$249,$S36))</f>
        <v>2</v>
      </c>
      <c r="N36" s="12" t="str">
        <f aca="false">IF($S36="","",IF(INDEX('All reports'!$N$5:$N$249,$S36)="","",INDEX('All reports'!$N$5:$N$249,$S36)))</f>
        <v>Exact</v>
      </c>
      <c r="O36" s="12" t="n">
        <f aca="false">IF($S36="","",COUNTIF('All reports'!$M$5:$M$249,INDEX('All reports'!$M$5:$M$249,$S36))-1)</f>
        <v>0</v>
      </c>
      <c r="P36" s="16" t="str">
        <f aca="false">IFERROR(HYPERLINK(INDEX('All reports'!$L$5:$L$249,$S36),"Open report"),"")</f>
        <v>Open report</v>
      </c>
      <c r="Q36" s="16" t="str">
        <f aca="false">IFERROR(HYPERLINK(INDEX('QC listings'!$H$5:$H$200,MATCH(INDEX('All reports'!$M$5:$M$249,$S36),'QC listings'!$A$5:$A$200,0)),"Open listing"),"")</f>
        <v>Open listing</v>
      </c>
      <c r="R36" s="6" t="str">
        <f aca="false">IF($S36="","",INDEX('All reports'!$AC$5:$AC$249,$S36))</f>
        <v>Link out; Trustified's written licence needed to display the report</v>
      </c>
      <c r="S36" s="17" t="n">
        <f aca="false">IFERROR(MATCH($A36,'All reports'!$AA$5:$AA$249,0),"")</f>
        <v>87</v>
      </c>
    </row>
    <row r="37" customFormat="false" ht="23.85" hidden="false" customHeight="false" outlineLevel="0" collapsed="false">
      <c r="A37" s="12" t="n">
        <v>33</v>
      </c>
      <c r="B37" s="6" t="str">
        <f aca="false">IF($S37="","",INDEX('All reports'!$B$5:$B$249,$S37))</f>
        <v>MuscleBlaze</v>
      </c>
      <c r="C37" s="6" t="str">
        <f aca="false">IF($S37="","",INDEX('All reports'!$C$5:$C$249,$S37))</f>
        <v>Biozyme Iso Zero</v>
      </c>
      <c r="D37" s="7" t="str">
        <f aca="false">IF($S37="","",INDEX('All reports'!$E$5:$E$249,$S37))</f>
        <v>Whey protein</v>
      </c>
      <c r="E37" s="12" t="str">
        <f aca="false">IF($S37="","",INDEX('All reports'!$F$5:$F$249,$S37))</f>
        <v>Passed</v>
      </c>
      <c r="F37" s="13" t="str">
        <f aca="false">IF($S37="","",IF(INDEX('All reports'!$G$5:$G$249,$S37)="","",INDEX('All reports'!$G$5:$G$249,$S37)))</f>
        <v/>
      </c>
      <c r="G37" s="6" t="str">
        <f aca="false">IF($S37="","",INDEX('All reports'!$I$5:$I$249,$S37))</f>
        <v>Not shown on list</v>
      </c>
      <c r="H37" s="7" t="str">
        <f aca="false">IF($S37="","",IF(INDEX('All reports'!$H$5:$H$249,$S37)="","",INDEX('All reports'!$H$5:$H$249,$S37)))</f>
        <v/>
      </c>
      <c r="I37" s="7" t="str">
        <f aca="false">IF($S37="","",INDEX('All reports'!$J$5:$J$249,$S37))</f>
        <v>Trustified Pass/Fail</v>
      </c>
      <c r="J37" s="6" t="str">
        <f aca="false">IF($S37="","",SUBSTITUTE(TRIM(IF(INDEX('All reports'!$O$5:$O$249,$S37)="Y","Blinkit",IF(INDEX('All reports'!$O$5:$O$249,$S37)="?","Blinkit?",""))&amp;" "&amp;IF(INDEX('All reports'!$P$5:$P$249,$S37)="Y","Zepto",IF(INDEX('All reports'!$P$5:$P$249,$S37)="?","Zepto?",""))&amp;" "&amp;IF(INDEX('All reports'!$Q$5:$Q$249,$S37)="Y","Instamart",IF(INDEX('All reports'!$Q$5:$Q$249,$S37)="?","Instamart?",""))&amp;" "&amp;IF(INDEX('All reports'!$R$5:$R$249,$S37)="Y","BigBasket",IF(INDEX('All reports'!$R$5:$R$249,$S37)="?","BigBasket?","")))," "," · "))</f>
        <v>Blinkit</v>
      </c>
      <c r="K37" s="14" t="n">
        <f aca="false">IF($S37="","",INDEX('All reports'!$T$5:$T$249,$S37))</f>
        <v>0</v>
      </c>
      <c r="L37" s="12" t="n">
        <f aca="false">IF($S37="","",INDEX('All reports'!$U$5:$U$249,$S37))</f>
        <v>0</v>
      </c>
      <c r="M37" s="15" t="n">
        <f aca="false">IF($S37="","",INDEX('All reports'!$Y$5:$Y$249,$S37))</f>
        <v>2</v>
      </c>
      <c r="N37" s="12" t="str">
        <f aca="false">IF($S37="","",IF(INDEX('All reports'!$N$5:$N$249,$S37)="","",INDEX('All reports'!$N$5:$N$249,$S37)))</f>
        <v>Exact</v>
      </c>
      <c r="O37" s="12" t="n">
        <f aca="false">IF($S37="","",COUNTIF('All reports'!$M$5:$M$249,INDEX('All reports'!$M$5:$M$249,$S37))-1)</f>
        <v>0</v>
      </c>
      <c r="P37" s="16" t="str">
        <f aca="false">IFERROR(HYPERLINK(INDEX('All reports'!$L$5:$L$249,$S37),"Open report"),"")</f>
        <v>Open report</v>
      </c>
      <c r="Q37" s="16" t="str">
        <f aca="false">IFERROR(HYPERLINK(INDEX('QC listings'!$H$5:$H$200,MATCH(INDEX('All reports'!$M$5:$M$249,$S37),'QC listings'!$A$5:$A$200,0)),"Open listing"),"")</f>
        <v>Open listing</v>
      </c>
      <c r="R37" s="6" t="str">
        <f aca="false">IF($S37="","",INDEX('All reports'!$AC$5:$AC$249,$S37))</f>
        <v>Link out; Trustified's written licence needed to display the report</v>
      </c>
      <c r="S37" s="17" t="n">
        <f aca="false">IFERROR(MATCH($A37,'All reports'!$AA$5:$AA$249,0),"")</f>
        <v>150</v>
      </c>
    </row>
    <row r="38" customFormat="false" ht="23.85" hidden="false" customHeight="false" outlineLevel="0" collapsed="false">
      <c r="A38" s="12" t="n">
        <v>34</v>
      </c>
      <c r="B38" s="6" t="str">
        <f aca="false">IF($S38="","",INDEX('All reports'!$B$5:$B$249,$S38))</f>
        <v>MuscleBlaze</v>
      </c>
      <c r="C38" s="6" t="str">
        <f aca="false">IF($S38="","",INDEX('All reports'!$C$5:$C$249,$S38))</f>
        <v>Biozyme Performance Whey</v>
      </c>
      <c r="D38" s="7" t="str">
        <f aca="false">IF($S38="","",INDEX('All reports'!$E$5:$E$249,$S38))</f>
        <v>Whey protein</v>
      </c>
      <c r="E38" s="12" t="str">
        <f aca="false">IF($S38="","",INDEX('All reports'!$F$5:$F$249,$S38))</f>
        <v>Passed</v>
      </c>
      <c r="F38" s="13" t="str">
        <f aca="false">IF($S38="","",IF(INDEX('All reports'!$G$5:$G$249,$S38)="","",INDEX('All reports'!$G$5:$G$249,$S38)))</f>
        <v/>
      </c>
      <c r="G38" s="6" t="str">
        <f aca="false">IF($S38="","",INDEX('All reports'!$I$5:$I$249,$S38))</f>
        <v>Not shown on list</v>
      </c>
      <c r="H38" s="7" t="str">
        <f aca="false">IF($S38="","",IF(INDEX('All reports'!$H$5:$H$249,$S38)="","",INDEX('All reports'!$H$5:$H$249,$S38)))</f>
        <v/>
      </c>
      <c r="I38" s="7" t="str">
        <f aca="false">IF($S38="","",INDEX('All reports'!$J$5:$J$249,$S38))</f>
        <v>Trustified Pass/Fail</v>
      </c>
      <c r="J38" s="6" t="str">
        <f aca="false">IF($S38="","",SUBSTITUTE(TRIM(IF(INDEX('All reports'!$O$5:$O$249,$S38)="Y","Blinkit",IF(INDEX('All reports'!$O$5:$O$249,$S38)="?","Blinkit?",""))&amp;" "&amp;IF(INDEX('All reports'!$P$5:$P$249,$S38)="Y","Zepto",IF(INDEX('All reports'!$P$5:$P$249,$S38)="?","Zepto?",""))&amp;" "&amp;IF(INDEX('All reports'!$Q$5:$Q$249,$S38)="Y","Instamart",IF(INDEX('All reports'!$Q$5:$Q$249,$S38)="?","Instamart?",""))&amp;" "&amp;IF(INDEX('All reports'!$R$5:$R$249,$S38)="Y","BigBasket",IF(INDEX('All reports'!$R$5:$R$249,$S38)="?","BigBasket?","")))," "," · "))</f>
        <v>Blinkit</v>
      </c>
      <c r="K38" s="14" t="n">
        <f aca="false">IF($S38="","",INDEX('All reports'!$T$5:$T$249,$S38))</f>
        <v>0</v>
      </c>
      <c r="L38" s="12" t="n">
        <f aca="false">IF($S38="","",INDEX('All reports'!$U$5:$U$249,$S38))</f>
        <v>0</v>
      </c>
      <c r="M38" s="15" t="n">
        <f aca="false">IF($S38="","",INDEX('All reports'!$Y$5:$Y$249,$S38))</f>
        <v>2</v>
      </c>
      <c r="N38" s="12" t="str">
        <f aca="false">IF($S38="","",IF(INDEX('All reports'!$N$5:$N$249,$S38)="","",INDEX('All reports'!$N$5:$N$249,$S38)))</f>
        <v>Exact</v>
      </c>
      <c r="O38" s="12" t="n">
        <f aca="false">IF($S38="","",COUNTIF('All reports'!$M$5:$M$249,INDEX('All reports'!$M$5:$M$249,$S38))-1)</f>
        <v>0</v>
      </c>
      <c r="P38" s="16" t="str">
        <f aca="false">IFERROR(HYPERLINK(INDEX('All reports'!$L$5:$L$249,$S38),"Open report"),"")</f>
        <v>Open report</v>
      </c>
      <c r="Q38" s="16" t="str">
        <f aca="false">IFERROR(HYPERLINK(INDEX('QC listings'!$H$5:$H$200,MATCH(INDEX('All reports'!$M$5:$M$249,$S38),'QC listings'!$A$5:$A$200,0)),"Open listing"),"")</f>
        <v>Open listing</v>
      </c>
      <c r="R38" s="6" t="str">
        <f aca="false">IF($S38="","",INDEX('All reports'!$AC$5:$AC$249,$S38))</f>
        <v>Link out; Trustified's written licence needed to display the report</v>
      </c>
      <c r="S38" s="17" t="n">
        <f aca="false">IFERROR(MATCH($A38,'All reports'!$AA$5:$AA$249,0),"")</f>
        <v>151</v>
      </c>
    </row>
    <row r="39" customFormat="false" ht="23.85" hidden="false" customHeight="false" outlineLevel="0" collapsed="false">
      <c r="A39" s="12" t="n">
        <v>35</v>
      </c>
      <c r="B39" s="6" t="str">
        <f aca="false">IF($S39="","",INDEX('All reports'!$B$5:$B$249,$S39))</f>
        <v>Cadbury</v>
      </c>
      <c r="C39" s="6" t="str">
        <f aca="false">IF($S39="","",INDEX('All reports'!$C$5:$C$249,$S39))</f>
        <v>Bournville Classic 50% Dark</v>
      </c>
      <c r="D39" s="7" t="str">
        <f aca="false">IF($S39="","",INDEX('All reports'!$E$5:$E$249,$S39))</f>
        <v>Chocolate &amp; cocoa</v>
      </c>
      <c r="E39" s="12" t="str">
        <f aca="false">IF($S39="","",INDEX('All reports'!$F$5:$F$249,$S39))</f>
        <v>Passed</v>
      </c>
      <c r="F39" s="13" t="n">
        <f aca="false">IF($S39="","",IF(INDEX('All reports'!$G$5:$G$249,$S39)="","",INDEX('All reports'!$G$5:$G$249,$S39)))</f>
        <v>45688</v>
      </c>
      <c r="G39" s="6" t="str">
        <f aca="false">IF($S39="","",INDEX('All reports'!$I$5:$I$249,$S39))</f>
        <v>Eurofins</v>
      </c>
      <c r="H39" s="7" t="str">
        <f aca="false">IF($S39="","",IF(INDEX('All reports'!$H$5:$H$249,$S39)="","",INDEX('All reports'!$H$5:$H$249,$S39)))</f>
        <v>F40913A</v>
      </c>
      <c r="I39" s="7" t="str">
        <f aca="false">IF($S39="","",INDEX('All reports'!$J$5:$J$249,$S39))</f>
        <v>Trustified Pass/Fail</v>
      </c>
      <c r="J39" s="6" t="str">
        <f aca="false">IF($S39="","",SUBSTITUTE(TRIM(IF(INDEX('All reports'!$O$5:$O$249,$S39)="Y","Blinkit",IF(INDEX('All reports'!$O$5:$O$249,$S39)="?","Blinkit?",""))&amp;" "&amp;IF(INDEX('All reports'!$P$5:$P$249,$S39)="Y","Zepto",IF(INDEX('All reports'!$P$5:$P$249,$S39)="?","Zepto?",""))&amp;" "&amp;IF(INDEX('All reports'!$Q$5:$Q$249,$S39)="Y","Instamart",IF(INDEX('All reports'!$Q$5:$Q$249,$S39)="?","Instamart?",""))&amp;" "&amp;IF(INDEX('All reports'!$R$5:$R$249,$S39)="Y","BigBasket",IF(INDEX('All reports'!$R$5:$R$249,$S39)="?","BigBasket?","")))," "," · "))</f>
        <v>Blinkit</v>
      </c>
      <c r="K39" s="14" t="n">
        <f aca="false">IF($S39="","",INDEX('All reports'!$T$5:$T$249,$S39))</f>
        <v>0</v>
      </c>
      <c r="L39" s="12" t="n">
        <f aca="false">IF($S39="","",INDEX('All reports'!$U$5:$U$249,$S39))</f>
        <v>0</v>
      </c>
      <c r="M39" s="15" t="n">
        <f aca="false">IF($S39="","",INDEX('All reports'!$Y$5:$Y$249,$S39))</f>
        <v>1.75</v>
      </c>
      <c r="N39" s="12" t="str">
        <f aca="false">IF($S39="","",IF(INDEX('All reports'!$N$5:$N$249,$S39)="","",INDEX('All reports'!$N$5:$N$249,$S39)))</f>
        <v>Same line</v>
      </c>
      <c r="O39" s="12" t="n">
        <f aca="false">IF($S39="","",COUNTIF('All reports'!$M$5:$M$249,INDEX('All reports'!$M$5:$M$249,$S39))-1)</f>
        <v>1</v>
      </c>
      <c r="P39" s="16" t="str">
        <f aca="false">IFERROR(HYPERLINK(INDEX('All reports'!$L$5:$L$249,$S39),"Open report"),"")</f>
        <v>Open report</v>
      </c>
      <c r="Q39" s="16" t="str">
        <f aca="false">IFERROR(HYPERLINK(INDEX('QC listings'!$H$5:$H$200,MATCH(INDEX('All reports'!$M$5:$M$249,$S39),'QC listings'!$A$5:$A$200,0)),"Open listing"),"")</f>
        <v>Open listing</v>
      </c>
      <c r="R39" s="6" t="str">
        <f aca="false">IF($S39="","",INDEX('All reports'!$AC$5:$AC$249,$S39))</f>
        <v>Link out; Trustified's written licence needed to display the report</v>
      </c>
      <c r="S39" s="17" t="n">
        <f aca="false">IFERROR(MATCH($A39,'All reports'!$AA$5:$AA$249,0),"")</f>
        <v>86</v>
      </c>
    </row>
    <row r="40" customFormat="false" ht="23.85" hidden="false" customHeight="false" outlineLevel="0" collapsed="false">
      <c r="A40" s="12" t="n">
        <v>36</v>
      </c>
      <c r="B40" s="6" t="str">
        <f aca="false">IF($S40="","",INDEX('All reports'!$B$5:$B$249,$S40))</f>
        <v>Alpino</v>
      </c>
      <c r="C40" s="6" t="str">
        <f aca="false">IF($S40="","",INDEX('All reports'!$C$5:$C$249,$S40))</f>
        <v>Natural Peanut Butter</v>
      </c>
      <c r="D40" s="7" t="str">
        <f aca="false">IF($S40="","",INDEX('All reports'!$E$5:$E$249,$S40))</f>
        <v>Peanut butter</v>
      </c>
      <c r="E40" s="12" t="str">
        <f aca="false">IF($S40="","",INDEX('All reports'!$F$5:$F$249,$S40))</f>
        <v>Expired</v>
      </c>
      <c r="F40" s="13" t="n">
        <f aca="false">IF($S40="","",IF(INDEX('All reports'!$G$5:$G$249,$S40)="","",INDEX('All reports'!$G$5:$G$249,$S40)))</f>
        <v>45627</v>
      </c>
      <c r="G40" s="6" t="str">
        <f aca="false">IF($S40="","",INDEX('All reports'!$I$5:$I$249,$S40))</f>
        <v>Eurofins</v>
      </c>
      <c r="H40" s="7" t="str">
        <f aca="false">IF($S40="","",IF(INDEX('All reports'!$H$5:$H$249,$S40)="","",INDEX('All reports'!$H$5:$H$249,$S40)))</f>
        <v>NCR SFBG-24</v>
      </c>
      <c r="I40" s="7" t="str">
        <f aca="false">IF($S40="","",INDEX('All reports'!$J$5:$J$249,$S40))</f>
        <v>Trustified Pass/Fail</v>
      </c>
      <c r="J40" s="6" t="str">
        <f aca="false">IF($S40="","",SUBSTITUTE(TRIM(IF(INDEX('All reports'!$O$5:$O$249,$S40)="Y","Blinkit",IF(INDEX('All reports'!$O$5:$O$249,$S40)="?","Blinkit?",""))&amp;" "&amp;IF(INDEX('All reports'!$P$5:$P$249,$S40)="Y","Zepto",IF(INDEX('All reports'!$P$5:$P$249,$S40)="?","Zepto?",""))&amp;" "&amp;IF(INDEX('All reports'!$Q$5:$Q$249,$S40)="Y","Instamart",IF(INDEX('All reports'!$Q$5:$Q$249,$S40)="?","Instamart?",""))&amp;" "&amp;IF(INDEX('All reports'!$R$5:$R$249,$S40)="Y","BigBasket",IF(INDEX('All reports'!$R$5:$R$249,$S40)="?","BigBasket?","")))," "," · "))</f>
        <v>Blinkit · Zepto</v>
      </c>
      <c r="K40" s="14" t="n">
        <f aca="false">IF($S40="","",INDEX('All reports'!$T$5:$T$249,$S40))</f>
        <v>716</v>
      </c>
      <c r="L40" s="12" t="n">
        <f aca="false">IF($S40="","",INDEX('All reports'!$U$5:$U$249,$S40))</f>
        <v>0</v>
      </c>
      <c r="M40" s="15" t="n">
        <f aca="false">IF($S40="","",INDEX('All reports'!$Y$5:$Y$249,$S40))</f>
        <v>1.5</v>
      </c>
      <c r="N40" s="12" t="str">
        <f aca="false">IF($S40="","",IF(INDEX('All reports'!$N$5:$N$249,$S40)="","",INDEX('All reports'!$N$5:$N$249,$S40)))</f>
        <v>Same line</v>
      </c>
      <c r="O40" s="12" t="n">
        <f aca="false">IF($S40="","",COUNTIF('All reports'!$M$5:$M$249,INDEX('All reports'!$M$5:$M$249,$S40))-1)</f>
        <v>1</v>
      </c>
      <c r="P40" s="16" t="str">
        <f aca="false">IFERROR(HYPERLINK(INDEX('All reports'!$L$5:$L$249,$S40),"Open report"),"")</f>
        <v>Open report</v>
      </c>
      <c r="Q40" s="16" t="str">
        <f aca="false">IFERROR(HYPERLINK(INDEX('QC listings'!$H$5:$H$200,MATCH(INDEX('All reports'!$M$5:$M$249,$S40),'QC listings'!$A$5:$A$200,0)),"Open listing"),"")</f>
        <v>Open listing</v>
      </c>
      <c r="R40" s="6" t="str">
        <f aca="false">IF($S40="","",INDEX('All reports'!$AC$5:$AC$249,$S40))</f>
        <v>Link out only: Trustified marks this report Expired, so don't show it as current</v>
      </c>
      <c r="S40" s="17" t="n">
        <f aca="false">IFERROR(MATCH($A40,'All reports'!$AA$5:$AA$249,0),"")</f>
        <v>96</v>
      </c>
    </row>
    <row r="41" customFormat="false" ht="23.85" hidden="false" customHeight="false" outlineLevel="0" collapsed="false">
      <c r="A41" s="12" t="n">
        <v>37</v>
      </c>
      <c r="B41" s="6" t="str">
        <f aca="false">IF($S41="","",INDEX('All reports'!$B$5:$B$249,$S41))</f>
        <v>The Whole Truth</v>
      </c>
      <c r="C41" s="6" t="str">
        <f aca="false">IF($S41="","",INDEX('All reports'!$C$5:$C$249,$S41))</f>
        <v>Peanut Butter – Crunchy Dark Chocolate</v>
      </c>
      <c r="D41" s="7" t="str">
        <f aca="false">IF($S41="","",INDEX('All reports'!$E$5:$E$249,$S41))</f>
        <v>Peanut butter</v>
      </c>
      <c r="E41" s="12" t="str">
        <f aca="false">IF($S41="","",INDEX('All reports'!$F$5:$F$249,$S41))</f>
        <v>Expired</v>
      </c>
      <c r="F41" s="13" t="str">
        <f aca="false">IF($S41="","",IF(INDEX('All reports'!$G$5:$G$249,$S41)="","",INDEX('All reports'!$G$5:$G$249,$S41)))</f>
        <v/>
      </c>
      <c r="G41" s="6" t="str">
        <f aca="false">IF($S41="","",INDEX('All reports'!$I$5:$I$249,$S41))</f>
        <v>NABL labs (up to 3 per sample)</v>
      </c>
      <c r="H41" s="7" t="str">
        <f aca="false">IF($S41="","",IF(INDEX('All reports'!$H$5:$H$249,$S41)="","",INDEX('All reports'!$H$5:$H$249,$S41)))</f>
        <v/>
      </c>
      <c r="I41" s="7" t="str">
        <f aca="false">IF($S41="","",INDEX('All reports'!$J$5:$J$249,$S41))</f>
        <v>Unbox Health</v>
      </c>
      <c r="J41" s="6" t="str">
        <f aca="false">IF($S41="","",SUBSTITUTE(TRIM(IF(INDEX('All reports'!$O$5:$O$249,$S41)="Y","Blinkit",IF(INDEX('All reports'!$O$5:$O$249,$S41)="?","Blinkit?",""))&amp;" "&amp;IF(INDEX('All reports'!$P$5:$P$249,$S41)="Y","Zepto",IF(INDEX('All reports'!$P$5:$P$249,$S41)="?","Zepto?",""))&amp;" "&amp;IF(INDEX('All reports'!$Q$5:$Q$249,$S41)="Y","Instamart",IF(INDEX('All reports'!$Q$5:$Q$249,$S41)="?","Instamart?",""))&amp;" "&amp;IF(INDEX('All reports'!$R$5:$R$249,$S41)="Y","BigBasket",IF(INDEX('All reports'!$R$5:$R$249,$S41)="?","BigBasket?","")))," "," · "))</f>
        <v>Zepto</v>
      </c>
      <c r="K41" s="14" t="n">
        <f aca="false">IF($S41="","",INDEX('All reports'!$T$5:$T$249,$S41))</f>
        <v>860</v>
      </c>
      <c r="L41" s="12" t="n">
        <f aca="false">IF($S41="","",INDEX('All reports'!$U$5:$U$249,$S41))</f>
        <v>0</v>
      </c>
      <c r="M41" s="15" t="n">
        <f aca="false">IF($S41="","",INDEX('All reports'!$Y$5:$Y$249,$S41))</f>
        <v>1</v>
      </c>
      <c r="N41" s="12" t="str">
        <f aca="false">IF($S41="","",IF(INDEX('All reports'!$N$5:$N$249,$S41)="","",INDEX('All reports'!$N$5:$N$249,$S41)))</f>
        <v>Exact</v>
      </c>
      <c r="O41" s="12" t="n">
        <f aca="false">IF($S41="","",COUNTIF('All reports'!$M$5:$M$249,INDEX('All reports'!$M$5:$M$249,$S41))-1)</f>
        <v>0</v>
      </c>
      <c r="P41" s="16" t="str">
        <f aca="false">IFERROR(HYPERLINK(INDEX('All reports'!$L$5:$L$249,$S41),"Open report"),"")</f>
        <v>Open report</v>
      </c>
      <c r="Q41" s="16" t="str">
        <f aca="false">IFERROR(HYPERLINK(INDEX('QC listings'!$H$5:$H$200,MATCH(INDEX('All reports'!$M$5:$M$249,$S41),'QC listings'!$A$5:$A$200,0)),"Open listing"),"")</f>
        <v>Open listing</v>
      </c>
      <c r="R41" s="6" t="str">
        <f aca="false">IF($S41="","",INDEX('All reports'!$AC$5:$AC$249,$S41))</f>
        <v>Competitor rating: link out only; full report needs a free login</v>
      </c>
      <c r="S41" s="17" t="n">
        <f aca="false">IFERROR(MATCH($A41,'All reports'!$AA$5:$AA$249,0),"")</f>
        <v>111</v>
      </c>
    </row>
    <row r="42" customFormat="false" ht="23.85" hidden="false" customHeight="false" outlineLevel="0" collapsed="false">
      <c r="A42" s="12" t="n">
        <v>38</v>
      </c>
      <c r="B42" s="6" t="str">
        <f aca="false">IF($S42="","",INDEX('All reports'!$B$5:$B$249,$S42))</f>
        <v>The Whole Truth</v>
      </c>
      <c r="C42" s="6" t="str">
        <f aca="false">IF($S42="","",INDEX('All reports'!$C$5:$C$249,$S42))</f>
        <v>High Protein Bar</v>
      </c>
      <c r="D42" s="7" t="str">
        <f aca="false">IF($S42="","",INDEX('All reports'!$E$5:$E$249,$S42))</f>
        <v>Protein bar</v>
      </c>
      <c r="E42" s="12" t="str">
        <f aca="false">IF($S42="","",INDEX('All reports'!$F$5:$F$249,$S42))</f>
        <v>Passed</v>
      </c>
      <c r="F42" s="13" t="n">
        <f aca="false">IF($S42="","",IF(INDEX('All reports'!$G$5:$G$249,$S42)="","",INDEX('All reports'!$G$5:$G$249,$S42)))</f>
        <v>45509</v>
      </c>
      <c r="G42" s="6" t="str">
        <f aca="false">IF($S42="","",INDEX('All reports'!$I$5:$I$249,$S42))</f>
        <v>Eurofins</v>
      </c>
      <c r="H42" s="7" t="str">
        <f aca="false">IF($S42="","",IF(INDEX('All reports'!$H$5:$H$249,$S42)="","",INDEX('All reports'!$H$5:$H$249,$S42)))</f>
        <v>DBCPRO-273</v>
      </c>
      <c r="I42" s="7" t="str">
        <f aca="false">IF($S42="","",INDEX('All reports'!$J$5:$J$249,$S42))</f>
        <v>Trustified Pass/Fail</v>
      </c>
      <c r="J42" s="6" t="str">
        <f aca="false">IF($S42="","",SUBSTITUTE(TRIM(IF(INDEX('All reports'!$O$5:$O$249,$S42)="Y","Blinkit",IF(INDEX('All reports'!$O$5:$O$249,$S42)="?","Blinkit?",""))&amp;" "&amp;IF(INDEX('All reports'!$P$5:$P$249,$S42)="Y","Zepto",IF(INDEX('All reports'!$P$5:$P$249,$S42)="?","Zepto?",""))&amp;" "&amp;IF(INDEX('All reports'!$Q$5:$Q$249,$S42)="Y","Instamart",IF(INDEX('All reports'!$Q$5:$Q$249,$S42)="?","Instamart?",""))&amp;" "&amp;IF(INDEX('All reports'!$R$5:$R$249,$S42)="Y","BigBasket",IF(INDEX('All reports'!$R$5:$R$249,$S42)="?","BigBasket?","")))," "," · "))</f>
        <v>Zepto</v>
      </c>
      <c r="K42" s="14" t="n">
        <f aca="false">IF($S42="","",INDEX('All reports'!$T$5:$T$249,$S42))</f>
        <v>0</v>
      </c>
      <c r="L42" s="12" t="n">
        <f aca="false">IF($S42="","",INDEX('All reports'!$U$5:$U$249,$S42))</f>
        <v>0</v>
      </c>
      <c r="M42" s="15" t="n">
        <f aca="false">IF($S42="","",INDEX('All reports'!$Y$5:$Y$249,$S42))</f>
        <v>0.75</v>
      </c>
      <c r="N42" s="12" t="str">
        <f aca="false">IF($S42="","",IF(INDEX('All reports'!$N$5:$N$249,$S42)="","",INDEX('All reports'!$N$5:$N$249,$S42)))</f>
        <v>Same line</v>
      </c>
      <c r="O42" s="12" t="n">
        <f aca="false">IF($S42="","",COUNTIF('All reports'!$M$5:$M$249,INDEX('All reports'!$M$5:$M$249,$S42))-1)</f>
        <v>2</v>
      </c>
      <c r="P42" s="16" t="str">
        <f aca="false">IFERROR(HYPERLINK(INDEX('All reports'!$L$5:$L$249,$S42),"Open report"),"")</f>
        <v>Open report</v>
      </c>
      <c r="Q42" s="16" t="str">
        <f aca="false">IFERROR(HYPERLINK(INDEX('QC listings'!$H$5:$H$200,MATCH(INDEX('All reports'!$M$5:$M$249,$S42),'QC listings'!$A$5:$A$200,0)),"Open listing"),"")</f>
        <v>Open listing</v>
      </c>
      <c r="R42" s="6" t="str">
        <f aca="false">IF($S42="","",INDEX('All reports'!$AC$5:$AC$249,$S42))</f>
        <v>Link out; Trustified's written licence needed to display the report</v>
      </c>
      <c r="S42" s="17" t="n">
        <f aca="false">IFERROR(MATCH($A42,'All reports'!$AA$5:$AA$249,0),"")</f>
        <v>125</v>
      </c>
    </row>
    <row r="43" customFormat="false" ht="23.85" hidden="false" customHeight="false" outlineLevel="0" collapsed="false">
      <c r="A43" s="12" t="n">
        <v>39</v>
      </c>
      <c r="B43" s="6" t="str">
        <f aca="false">IF($S43="","",INDEX('All reports'!$B$5:$B$249,$S43))</f>
        <v>The Whole Truth</v>
      </c>
      <c r="C43" s="6" t="str">
        <f aca="false">IF($S43="","",INDEX('All reports'!$C$5:$C$249,$S43))</f>
        <v>Raw Whey Protein Isolate</v>
      </c>
      <c r="D43" s="7" t="str">
        <f aca="false">IF($S43="","",INDEX('All reports'!$E$5:$E$249,$S43))</f>
        <v>Whey protein</v>
      </c>
      <c r="E43" s="12" t="str">
        <f aca="false">IF($S43="","",INDEX('All reports'!$F$5:$F$249,$S43))</f>
        <v>Passed</v>
      </c>
      <c r="F43" s="13" t="n">
        <f aca="false">IF($S43="","",IF(INDEX('All reports'!$G$5:$G$249,$S43)="","",INDEX('All reports'!$G$5:$G$249,$S43)))</f>
        <v>45460</v>
      </c>
      <c r="G43" s="6" t="str">
        <f aca="false">IF($S43="","",INDEX('All reports'!$I$5:$I$249,$S43))</f>
        <v>Eurofins</v>
      </c>
      <c r="H43" s="7" t="str">
        <f aca="false">IF($S43="","",IF(INDEX('All reports'!$H$5:$H$249,$S43)="","",INDEX('All reports'!$H$5:$H$249,$S43)))</f>
        <v>TWTWIU087F2</v>
      </c>
      <c r="I43" s="7" t="str">
        <f aca="false">IF($S43="","",INDEX('All reports'!$J$5:$J$249,$S43))</f>
        <v>Trustified Pass/Fail</v>
      </c>
      <c r="J43" s="6" t="str">
        <f aca="false">IF($S43="","",SUBSTITUTE(TRIM(IF(INDEX('All reports'!$O$5:$O$249,$S43)="Y","Blinkit",IF(INDEX('All reports'!$O$5:$O$249,$S43)="?","Blinkit?",""))&amp;" "&amp;IF(INDEX('All reports'!$P$5:$P$249,$S43)="Y","Zepto",IF(INDEX('All reports'!$P$5:$P$249,$S43)="?","Zepto?",""))&amp;" "&amp;IF(INDEX('All reports'!$Q$5:$Q$249,$S43)="Y","Instamart",IF(INDEX('All reports'!$Q$5:$Q$249,$S43)="?","Instamart?",""))&amp;" "&amp;IF(INDEX('All reports'!$R$5:$R$249,$S43)="Y","BigBasket",IF(INDEX('All reports'!$R$5:$R$249,$S43)="?","BigBasket?","")))," "," · "))</f>
        <v>Zepto</v>
      </c>
      <c r="K43" s="14" t="n">
        <f aca="false">IF($S43="","",INDEX('All reports'!$T$5:$T$249,$S43))</f>
        <v>0</v>
      </c>
      <c r="L43" s="12" t="n">
        <f aca="false">IF($S43="","",INDEX('All reports'!$U$5:$U$249,$S43))</f>
        <v>0</v>
      </c>
      <c r="M43" s="15" t="n">
        <f aca="false">IF($S43="","",INDEX('All reports'!$Y$5:$Y$249,$S43))</f>
        <v>0.75</v>
      </c>
      <c r="N43" s="12" t="str">
        <f aca="false">IF($S43="","",IF(INDEX('All reports'!$N$5:$N$249,$S43)="","",INDEX('All reports'!$N$5:$N$249,$S43)))</f>
        <v>Same line</v>
      </c>
      <c r="O43" s="12" t="n">
        <f aca="false">IF($S43="","",COUNTIF('All reports'!$M$5:$M$249,INDEX('All reports'!$M$5:$M$249,$S43))-1)</f>
        <v>1</v>
      </c>
      <c r="P43" s="16" t="str">
        <f aca="false">IFERROR(HYPERLINK(INDEX('All reports'!$L$5:$L$249,$S43),"Open report"),"")</f>
        <v>Open report</v>
      </c>
      <c r="Q43" s="16" t="str">
        <f aca="false">IFERROR(HYPERLINK(INDEX('QC listings'!$H$5:$H$200,MATCH(INDEX('All reports'!$M$5:$M$249,$S43),'QC listings'!$A$5:$A$200,0)),"Open listing"),"")</f>
        <v>Open listing</v>
      </c>
      <c r="R43" s="6" t="str">
        <f aca="false">IF($S43="","",INDEX('All reports'!$AC$5:$AC$249,$S43))</f>
        <v>Link out; Trustified's written licence needed to display the report</v>
      </c>
      <c r="S43" s="17" t="n">
        <f aca="false">IFERROR(MATCH($A43,'All reports'!$AA$5:$AA$249,0),"")</f>
        <v>168</v>
      </c>
    </row>
  </sheetData>
  <autoFilter ref="A4:S43"/>
  <conditionalFormatting sqref="E5:E43">
    <cfRule type="expression" priority="2" aboveAverage="0" equalAverage="0" bottom="0" percent="0" rank="0" text="" dxfId="32">
      <formula>$E5="Passed"</formula>
    </cfRule>
    <cfRule type="expression" priority="3" aboveAverage="0" equalAverage="0" bottom="0" percent="0" rank="0" text="" dxfId="33">
      <formula>OR($E5="Failed",$E5="Not recommended")</formula>
    </cfRule>
    <cfRule type="expression" priority="4" aboveAverage="0" equalAverage="0" bottom="0" percent="0" rank="0" text="" dxfId="34">
      <formula>$E5="Expired"</formula>
    </cfRule>
    <cfRule type="expression" priority="5" aboveAverage="0" equalAverage="0" bottom="0" percent="0" rank="0" text="" dxfId="35">
      <formula>OR($E5="Report published",$E5="Rated")</formula>
    </cfRule>
    <cfRule type="expression" priority="6" aboveAverage="0" equalAverage="0" bottom="0" percent="0" rank="0" text="" dxfId="36">
      <formula>OR($E5="No status shown",LEFT($E5,6)="Listed")</formula>
    </cfRule>
  </conditionalFormatting>
  <conditionalFormatting sqref="M5:M43">
    <cfRule type="colorScale" priority="7">
      <colorScale>
        <cfvo type="num" val="0"/>
        <cfvo type="num" val="14"/>
        <color rgb="FFFFFFFF"/>
        <color rgb="FF63BE7B"/>
      </colorScale>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AE2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40"/>
    <col collapsed="false" customWidth="true" hidden="false" outlineLevel="0" max="4" min="4" style="0" width="15"/>
    <col collapsed="false" customWidth="true" hidden="false" outlineLevel="0" max="5" min="5" style="0" width="22"/>
    <col collapsed="false" customWidth="true" hidden="false" outlineLevel="0" max="6" min="6" style="0" width="26"/>
    <col collapsed="false" customWidth="true" hidden="false" outlineLevel="0" max="7" min="7" style="0" width="12"/>
    <col collapsed="false" customWidth="true" hidden="false" outlineLevel="0" max="8" min="8" style="0" width="20"/>
    <col collapsed="false" customWidth="true" hidden="false" outlineLevel="0" max="9" min="9" style="0" width="24"/>
    <col collapsed="false" customWidth="true" hidden="false" outlineLevel="0" max="10" min="10" style="0" width="20"/>
    <col collapsed="false" customWidth="true" hidden="false" outlineLevel="0" max="11" min="11" style="0" width="12"/>
    <col collapsed="false" customWidth="true" hidden="false" outlineLevel="0" max="12" min="12" style="0" width="58"/>
    <col collapsed="false" customWidth="true" hidden="false" outlineLevel="0" max="13" min="13" style="0" width="19"/>
    <col collapsed="false" customWidth="true" hidden="false" outlineLevel="0" max="14" min="14" style="0" width="14"/>
    <col collapsed="false" customWidth="true" hidden="false" outlineLevel="0" max="16" min="15" style="0" width="9"/>
    <col collapsed="false" customWidth="true" hidden="false" outlineLevel="0" max="19" min="17" style="0" width="10"/>
    <col collapsed="false" customWidth="true" hidden="false" outlineLevel="0" max="20" min="20" style="0" width="12"/>
    <col collapsed="false" customWidth="true" hidden="false" outlineLevel="0" max="22" min="21" style="0" width="9"/>
    <col collapsed="false" customWidth="true" hidden="false" outlineLevel="0" max="24" min="23" style="0" width="10"/>
    <col collapsed="false" customWidth="true" hidden="false" outlineLevel="0" max="26" min="25" style="0" width="9"/>
    <col collapsed="false" customWidth="true" hidden="false" outlineLevel="0" max="27" min="27" style="0" width="8"/>
    <col collapsed="false" customWidth="true" hidden="false" outlineLevel="0" max="28" min="28" style="0" width="22"/>
    <col collapsed="false" customWidth="true" hidden="false" outlineLevel="0" max="29" min="29" style="0" width="46"/>
    <col collapsed="false" customWidth="true" hidden="false" outlineLevel="0" max="30" min="30" style="0" width="72"/>
    <col collapsed="false" customWidth="true" hidden="false" outlineLevel="0" max="31" min="31" style="0" width="12"/>
  </cols>
  <sheetData>
    <row r="1" customFormat="false" ht="21.75" hidden="false" customHeight="true" outlineLevel="0" collapsed="false">
      <c r="A1" s="1" t="s">
        <v>117</v>
      </c>
    </row>
    <row r="2" customFormat="false" ht="15" hidden="false" customHeight="false" outlineLevel="0" collapsed="false">
      <c r="A2" s="2" t="s">
        <v>118</v>
      </c>
    </row>
    <row r="3" customFormat="false" ht="15" hidden="false" customHeight="false" outlineLevel="0" collapsed="false">
      <c r="A3" s="18" t="s">
        <v>119</v>
      </c>
      <c r="B3" s="18"/>
      <c r="C3" s="18"/>
      <c r="D3" s="18"/>
      <c r="E3" s="18"/>
      <c r="F3" s="19" t="s">
        <v>120</v>
      </c>
      <c r="G3" s="19"/>
      <c r="H3" s="19"/>
      <c r="I3" s="19"/>
      <c r="J3" s="19"/>
      <c r="K3" s="19"/>
      <c r="L3" s="19"/>
      <c r="M3" s="20" t="s">
        <v>121</v>
      </c>
      <c r="N3" s="20"/>
      <c r="O3" s="20"/>
      <c r="P3" s="20"/>
      <c r="Q3" s="20"/>
      <c r="R3" s="20"/>
      <c r="S3" s="21" t="s">
        <v>122</v>
      </c>
      <c r="T3" s="21"/>
      <c r="U3" s="21"/>
      <c r="V3" s="21"/>
      <c r="W3" s="21"/>
      <c r="X3" s="21"/>
      <c r="Y3" s="21"/>
      <c r="Z3" s="21"/>
      <c r="AA3" s="21"/>
      <c r="AB3" s="22" t="s">
        <v>123</v>
      </c>
      <c r="AC3" s="22"/>
      <c r="AD3" s="22"/>
      <c r="AE3" s="22" t="s">
        <v>124</v>
      </c>
    </row>
    <row r="4" customFormat="false" ht="42" hidden="false" customHeight="true" outlineLevel="0" collapsed="false">
      <c r="A4" s="11" t="s">
        <v>125</v>
      </c>
      <c r="B4" s="11" t="s">
        <v>102</v>
      </c>
      <c r="C4" s="11" t="s">
        <v>119</v>
      </c>
      <c r="D4" s="11" t="s">
        <v>126</v>
      </c>
      <c r="E4" s="11" t="s">
        <v>104</v>
      </c>
      <c r="F4" s="11" t="s">
        <v>35</v>
      </c>
      <c r="G4" s="11" t="s">
        <v>105</v>
      </c>
      <c r="H4" s="11" t="s">
        <v>107</v>
      </c>
      <c r="I4" s="11" t="s">
        <v>106</v>
      </c>
      <c r="J4" s="11" t="s">
        <v>108</v>
      </c>
      <c r="K4" s="11" t="s">
        <v>127</v>
      </c>
      <c r="L4" s="11" t="s">
        <v>128</v>
      </c>
      <c r="M4" s="11" t="s">
        <v>129</v>
      </c>
      <c r="N4" s="11" t="s">
        <v>29</v>
      </c>
      <c r="O4" s="11" t="s">
        <v>130</v>
      </c>
      <c r="P4" s="11" t="s">
        <v>131</v>
      </c>
      <c r="Q4" s="11" t="s">
        <v>132</v>
      </c>
      <c r="R4" s="11" t="s">
        <v>133</v>
      </c>
      <c r="S4" s="11" t="s">
        <v>134</v>
      </c>
      <c r="T4" s="11" t="s">
        <v>31</v>
      </c>
      <c r="U4" s="11" t="s">
        <v>135</v>
      </c>
      <c r="V4" s="11" t="s">
        <v>136</v>
      </c>
      <c r="W4" s="11" t="s">
        <v>137</v>
      </c>
      <c r="X4" s="11" t="s">
        <v>138</v>
      </c>
      <c r="Y4" s="11" t="s">
        <v>111</v>
      </c>
      <c r="Z4" s="11" t="s">
        <v>33</v>
      </c>
      <c r="AA4" s="11" t="s">
        <v>101</v>
      </c>
      <c r="AB4" s="11" t="s">
        <v>139</v>
      </c>
      <c r="AC4" s="11" t="s">
        <v>115</v>
      </c>
      <c r="AD4" s="11" t="s">
        <v>140</v>
      </c>
      <c r="AE4" s="11" t="s">
        <v>141</v>
      </c>
    </row>
    <row r="5" customFormat="false" ht="23.85" hidden="false" customHeight="false" outlineLevel="0" collapsed="false">
      <c r="A5" s="7" t="s">
        <v>142</v>
      </c>
      <c r="B5" s="6" t="s">
        <v>143</v>
      </c>
      <c r="C5" s="6" t="s">
        <v>144</v>
      </c>
      <c r="D5" s="7" t="s">
        <v>145</v>
      </c>
      <c r="E5" s="7" t="s">
        <v>146</v>
      </c>
      <c r="F5" s="12" t="s">
        <v>147</v>
      </c>
      <c r="G5" s="13" t="n">
        <v>46061</v>
      </c>
      <c r="H5" s="7" t="s">
        <v>148</v>
      </c>
      <c r="I5" s="6" t="s">
        <v>149</v>
      </c>
      <c r="J5" s="7" t="s">
        <v>60</v>
      </c>
      <c r="K5" s="12"/>
      <c r="L5" s="10" t="s">
        <v>150</v>
      </c>
      <c r="M5" s="7" t="s">
        <v>151</v>
      </c>
      <c r="N5" s="12" t="s">
        <v>152</v>
      </c>
      <c r="O5" s="12" t="str">
        <f aca="false">IF($M5="","",IF(COUNTIFS('QC listings'!$A$5:$A$200,$M5,'QC listings'!$C$5:$C$200,O$4,'QC listings'!$F$5:$F$200,"Listing page")+COUNTIFS('QC listings'!$A$5:$A$200,$M5,'QC listings'!$C$5:$C$200,O$4,'QC listings'!$F$5:$F$200,"Brand page")&gt;0,"Y",IF(COUNTIFS('QC listings'!$A$5:$A$200,$M5,'QC listings'!$C$5:$C$200,O$4)&gt;0,"?","–")))</f>
        <v>Y</v>
      </c>
      <c r="P5" s="12" t="str">
        <f aca="false">IF($M5="","",IF(COUNTIFS('QC listings'!$A$5:$A$200,$M5,'QC listings'!$C$5:$C$200,P$4,'QC listings'!$F$5:$F$200,"Listing page")+COUNTIFS('QC listings'!$A$5:$A$200,$M5,'QC listings'!$C$5:$C$200,P$4,'QC listings'!$F$5:$F$200,"Brand page")&gt;0,"Y",IF(COUNTIFS('QC listings'!$A$5:$A$200,$M5,'QC listings'!$C$5:$C$200,P$4)&gt;0,"?","–")))</f>
        <v>Y</v>
      </c>
      <c r="Q5" s="12" t="str">
        <f aca="false">IF($M5="","",IF(COUNTIFS('QC listings'!$A$5:$A$200,$M5,'QC listings'!$C$5:$C$200,Q$4,'QC listings'!$F$5:$F$200,"Listing page")+COUNTIFS('QC listings'!$A$5:$A$200,$M5,'QC listings'!$C$5:$C$200,Q$4,'QC listings'!$F$5:$F$200,"Brand page")&gt;0,"Y",IF(COUNTIFS('QC listings'!$A$5:$A$200,$M5,'QC listings'!$C$5:$C$200,Q$4)&gt;0,"?","–")))</f>
        <v>–</v>
      </c>
      <c r="R5" s="12" t="str">
        <f aca="false">IF($M5="","",IF(COUNTIFS('QC listings'!$A$5:$A$200,$M5,'QC listings'!$C$5:$C$200,R$4,'QC listings'!$F$5:$F$200,"Listing page")+COUNTIFS('QC listings'!$A$5:$A$200,$M5,'QC listings'!$C$5:$C$200,R$4,'QC listings'!$F$5:$F$200,"Brand page")&gt;0,"Y",IF(COUNTIFS('QC listings'!$A$5:$A$200,$M5,'QC listings'!$C$5:$C$200,R$4)&gt;0,"?","–")))</f>
        <v>Y</v>
      </c>
      <c r="S5" s="12" t="n">
        <f aca="false">IF($M5="","",COUNTIF(O5:R5,"Y"))</f>
        <v>3</v>
      </c>
      <c r="T5" s="23" t="n">
        <f aca="false">IF($M5="","",SUMPRODUCT(MAX(('QC listings'!$A$5:$A$200=$M5)*'QC listings'!$E$5:$E$200)))</f>
        <v>1581833</v>
      </c>
      <c r="U5" s="12" t="n">
        <f aca="false">IF($M5="","",IF(T5&gt;=Scoring!$B$11,3,IF(T5&gt;=Scoring!$B$10,2,IF(T5&gt;=Scoring!$B$9,1,0))))</f>
        <v>3</v>
      </c>
      <c r="V5" s="12" t="n">
        <f aca="false">IFERROR(INDEX(Scoring!$B$27:$B$56,MATCH($E5,Scoring!$A$27:$A$56,0)),0)</f>
        <v>1</v>
      </c>
      <c r="W5" s="24" t="n">
        <f aca="false">IF($G5="","",ROUND((Scoring!$B$5-$G5)/30.4375,1))</f>
        <v>7.8</v>
      </c>
      <c r="X5" s="12" t="n">
        <f aca="false">IF($F5="Expired",Scoring!$B$18,IF($G5="",Scoring!$B$17,IF(W5&lt;=Scoring!$B$12,Scoring!$B$13,IF(W5&lt;=Scoring!$B$14,Scoring!$B$15,Scoring!$B$16))))</f>
        <v>2</v>
      </c>
      <c r="Y5" s="15" t="n">
        <f aca="false">IF($M5="","",ROUND((S5*Scoring!$B$6+U5*Scoring!$B$7)*IFERROR(INDEX(Scoring!$B$22:$B$24,MATCH($N5,Scoring!$A$22:$A$24,0)),1)+V5*Scoring!$B$8+X5,2))</f>
        <v>13</v>
      </c>
      <c r="Z5" s="12" t="n">
        <f aca="false">IF($M5="","",IF(SUMPRODUCT(($M$5:$M$249=$M5)*($G$5:$G$249&gt;$G5))&gt;0,0,IF(SUMPRODUCT(($M$5:$M$249=$M5)*($G$5:$G$249=$G5)*(ROW($M$5:$M$249)&lt;ROW($M5)))&gt;0,0,1)))</f>
        <v>1</v>
      </c>
      <c r="AA5" s="12" t="n">
        <f aca="false">IF($Z5=1,RANK($AE5,$AE$5:$AE$249,0),"")</f>
        <v>2</v>
      </c>
      <c r="AB5" s="7" t="s">
        <v>153</v>
      </c>
      <c r="AC5" s="6" t="s">
        <v>154</v>
      </c>
      <c r="AD5" s="6" t="s">
        <v>155</v>
      </c>
      <c r="AE5" s="25" t="n">
        <f aca="false">IF($Z5=1,$Y5+$T5/1000000000-ROW()/10000000,"")</f>
        <v>13.001581333</v>
      </c>
    </row>
    <row r="6" customFormat="false" ht="23.85" hidden="false" customHeight="false" outlineLevel="0" collapsed="false">
      <c r="A6" s="7" t="s">
        <v>156</v>
      </c>
      <c r="B6" s="6" t="s">
        <v>143</v>
      </c>
      <c r="C6" s="6" t="s">
        <v>157</v>
      </c>
      <c r="D6" s="7" t="s">
        <v>145</v>
      </c>
      <c r="E6" s="7" t="s">
        <v>146</v>
      </c>
      <c r="F6" s="12" t="s">
        <v>158</v>
      </c>
      <c r="G6" s="13" t="n">
        <v>46061</v>
      </c>
      <c r="H6" s="7" t="s">
        <v>159</v>
      </c>
      <c r="I6" s="6" t="s">
        <v>149</v>
      </c>
      <c r="J6" s="7" t="s">
        <v>60</v>
      </c>
      <c r="K6" s="12"/>
      <c r="L6" s="10" t="s">
        <v>160</v>
      </c>
      <c r="M6" s="7" t="s">
        <v>161</v>
      </c>
      <c r="N6" s="12" t="s">
        <v>152</v>
      </c>
      <c r="O6" s="12" t="str">
        <f aca="false">IF($M6="","",IF(COUNTIFS('QC listings'!$A$5:$A$200,$M6,'QC listings'!$C$5:$C$200,O$4,'QC listings'!$F$5:$F$200,"Listing page")+COUNTIFS('QC listings'!$A$5:$A$200,$M6,'QC listings'!$C$5:$C$200,O$4,'QC listings'!$F$5:$F$200,"Brand page")&gt;0,"Y",IF(COUNTIFS('QC listings'!$A$5:$A$200,$M6,'QC listings'!$C$5:$C$200,O$4)&gt;0,"?","–")))</f>
        <v>Y</v>
      </c>
      <c r="P6" s="12" t="str">
        <f aca="false">IF($M6="","",IF(COUNTIFS('QC listings'!$A$5:$A$200,$M6,'QC listings'!$C$5:$C$200,P$4,'QC listings'!$F$5:$F$200,"Listing page")+COUNTIFS('QC listings'!$A$5:$A$200,$M6,'QC listings'!$C$5:$C$200,P$4,'QC listings'!$F$5:$F$200,"Brand page")&gt;0,"Y",IF(COUNTIFS('QC listings'!$A$5:$A$200,$M6,'QC listings'!$C$5:$C$200,P$4)&gt;0,"?","–")))</f>
        <v>Y</v>
      </c>
      <c r="Q6" s="12" t="str">
        <f aca="false">IF($M6="","",IF(COUNTIFS('QC listings'!$A$5:$A$200,$M6,'QC listings'!$C$5:$C$200,Q$4,'QC listings'!$F$5:$F$200,"Listing page")+COUNTIFS('QC listings'!$A$5:$A$200,$M6,'QC listings'!$C$5:$C$200,Q$4,'QC listings'!$F$5:$F$200,"Brand page")&gt;0,"Y",IF(COUNTIFS('QC listings'!$A$5:$A$200,$M6,'QC listings'!$C$5:$C$200,Q$4)&gt;0,"?","–")))</f>
        <v>–</v>
      </c>
      <c r="R6" s="12" t="str">
        <f aca="false">IF($M6="","",IF(COUNTIFS('QC listings'!$A$5:$A$200,$M6,'QC listings'!$C$5:$C$200,R$4,'QC listings'!$F$5:$F$200,"Listing page")+COUNTIFS('QC listings'!$A$5:$A$200,$M6,'QC listings'!$C$5:$C$200,R$4,'QC listings'!$F$5:$F$200,"Brand page")&gt;0,"Y",IF(COUNTIFS('QC listings'!$A$5:$A$200,$M6,'QC listings'!$C$5:$C$200,R$4)&gt;0,"?","–")))</f>
        <v>Y</v>
      </c>
      <c r="S6" s="12" t="n">
        <f aca="false">IF($M6="","",COUNTIF(O6:R6,"Y"))</f>
        <v>3</v>
      </c>
      <c r="T6" s="23" t="n">
        <f aca="false">IF($M6="","",SUMPRODUCT(MAX(('QC listings'!$A$5:$A$200=$M6)*'QC listings'!$E$5:$E$200)))</f>
        <v>1214721</v>
      </c>
      <c r="U6" s="12" t="n">
        <f aca="false">IF($M6="","",IF(T6&gt;=Scoring!$B$11,3,IF(T6&gt;=Scoring!$B$10,2,IF(T6&gt;=Scoring!$B$9,1,0))))</f>
        <v>3</v>
      </c>
      <c r="V6" s="12" t="n">
        <f aca="false">IFERROR(INDEX(Scoring!$B$27:$B$56,MATCH($E6,Scoring!$A$27:$A$56,0)),0)</f>
        <v>1</v>
      </c>
      <c r="W6" s="24" t="n">
        <f aca="false">IF($G6="","",ROUND((Scoring!$B$5-$G6)/30.4375,1))</f>
        <v>7.8</v>
      </c>
      <c r="X6" s="12" t="n">
        <f aca="false">IF($F6="Expired",Scoring!$B$18,IF($G6="",Scoring!$B$17,IF(W6&lt;=Scoring!$B$12,Scoring!$B$13,IF(W6&lt;=Scoring!$B$14,Scoring!$B$15,Scoring!$B$16))))</f>
        <v>2</v>
      </c>
      <c r="Y6" s="15" t="n">
        <f aca="false">IF($M6="","",ROUND((S6*Scoring!$B$6+U6*Scoring!$B$7)*IFERROR(INDEX(Scoring!$B$22:$B$24,MATCH($N6,Scoring!$A$22:$A$24,0)),1)+V6*Scoring!$B$8+X6,2))</f>
        <v>13</v>
      </c>
      <c r="Z6" s="12" t="n">
        <f aca="false">IF($M6="","",IF(SUMPRODUCT(($M$5:$M$249=$M6)*($G$5:$G$249&gt;$G6))&gt;0,0,IF(SUMPRODUCT(($M$5:$M$249=$M6)*($G$5:$G$249=$G6)*(ROW($M$5:$M$249)&lt;ROW($M6)))&gt;0,0,1)))</f>
        <v>1</v>
      </c>
      <c r="AA6" s="12" t="n">
        <f aca="false">IF($Z6=1,RANK($AE6,$AE$5:$AE$249,0),"")</f>
        <v>3</v>
      </c>
      <c r="AB6" s="7" t="s">
        <v>153</v>
      </c>
      <c r="AC6" s="6" t="s">
        <v>162</v>
      </c>
      <c r="AD6" s="6" t="s">
        <v>155</v>
      </c>
      <c r="AE6" s="25" t="n">
        <f aca="false">IF($Z6=1,$Y6+$T6/1000000000-ROW()/10000000,"")</f>
        <v>13.001214121</v>
      </c>
    </row>
    <row r="7" customFormat="false" ht="23.85" hidden="false" customHeight="false" outlineLevel="0" collapsed="false">
      <c r="A7" s="7" t="s">
        <v>163</v>
      </c>
      <c r="B7" s="6" t="s">
        <v>143</v>
      </c>
      <c r="C7" s="6" t="s">
        <v>164</v>
      </c>
      <c r="D7" s="7" t="s">
        <v>145</v>
      </c>
      <c r="E7" s="7" t="s">
        <v>146</v>
      </c>
      <c r="F7" s="12" t="s">
        <v>147</v>
      </c>
      <c r="G7" s="13" t="n">
        <v>46061</v>
      </c>
      <c r="H7" s="7" t="s">
        <v>165</v>
      </c>
      <c r="I7" s="6" t="s">
        <v>149</v>
      </c>
      <c r="J7" s="7" t="s">
        <v>60</v>
      </c>
      <c r="K7" s="12"/>
      <c r="L7" s="10" t="s">
        <v>166</v>
      </c>
      <c r="M7" s="7"/>
      <c r="N7" s="12"/>
      <c r="O7" s="12" t="str">
        <f aca="false">IF($M7="","",IF(COUNTIFS('QC listings'!$A$5:$A$200,$M7,'QC listings'!$C$5:$C$200,O$4,'QC listings'!$F$5:$F$200,"Listing page")+COUNTIFS('QC listings'!$A$5:$A$200,$M7,'QC listings'!$C$5:$C$200,O$4,'QC listings'!$F$5:$F$200,"Brand page")&gt;0,"Y",IF(COUNTIFS('QC listings'!$A$5:$A$200,$M7,'QC listings'!$C$5:$C$200,O$4)&gt;0,"?","–")))</f>
        <v/>
      </c>
      <c r="P7" s="12" t="str">
        <f aca="false">IF($M7="","",IF(COUNTIFS('QC listings'!$A$5:$A$200,$M7,'QC listings'!$C$5:$C$200,P$4,'QC listings'!$F$5:$F$200,"Listing page")+COUNTIFS('QC listings'!$A$5:$A$200,$M7,'QC listings'!$C$5:$C$200,P$4,'QC listings'!$F$5:$F$200,"Brand page")&gt;0,"Y",IF(COUNTIFS('QC listings'!$A$5:$A$200,$M7,'QC listings'!$C$5:$C$200,P$4)&gt;0,"?","–")))</f>
        <v/>
      </c>
      <c r="Q7" s="12" t="str">
        <f aca="false">IF($M7="","",IF(COUNTIFS('QC listings'!$A$5:$A$200,$M7,'QC listings'!$C$5:$C$200,Q$4,'QC listings'!$F$5:$F$200,"Listing page")+COUNTIFS('QC listings'!$A$5:$A$200,$M7,'QC listings'!$C$5:$C$200,Q$4,'QC listings'!$F$5:$F$200,"Brand page")&gt;0,"Y",IF(COUNTIFS('QC listings'!$A$5:$A$200,$M7,'QC listings'!$C$5:$C$200,Q$4)&gt;0,"?","–")))</f>
        <v/>
      </c>
      <c r="R7" s="12" t="str">
        <f aca="false">IF($M7="","",IF(COUNTIFS('QC listings'!$A$5:$A$200,$M7,'QC listings'!$C$5:$C$200,R$4,'QC listings'!$F$5:$F$200,"Listing page")+COUNTIFS('QC listings'!$A$5:$A$200,$M7,'QC listings'!$C$5:$C$200,R$4,'QC listings'!$F$5:$F$200,"Brand page")&gt;0,"Y",IF(COUNTIFS('QC listings'!$A$5:$A$200,$M7,'QC listings'!$C$5:$C$200,R$4)&gt;0,"?","–")))</f>
        <v/>
      </c>
      <c r="S7" s="12" t="str">
        <f aca="false">IF($M7="","",COUNTIF(O7:R7,"Y"))</f>
        <v/>
      </c>
      <c r="T7" s="23" t="str">
        <f aca="false">IF($M7="","",SUMPRODUCT(MAX(('QC listings'!$A$5:$A$200=$M7)*'QC listings'!$E$5:$E$200)))</f>
        <v/>
      </c>
      <c r="U7" s="12" t="str">
        <f aca="false">IF($M7="","",IF(T7&gt;=Scoring!$B$11,3,IF(T7&gt;=Scoring!$B$10,2,IF(T7&gt;=Scoring!$B$9,1,0))))</f>
        <v/>
      </c>
      <c r="V7" s="12" t="n">
        <f aca="false">IFERROR(INDEX(Scoring!$B$27:$B$56,MATCH($E7,Scoring!$A$27:$A$56,0)),0)</f>
        <v>1</v>
      </c>
      <c r="W7" s="24" t="n">
        <f aca="false">IF($G7="","",ROUND((Scoring!$B$5-$G7)/30.4375,1))</f>
        <v>7.8</v>
      </c>
      <c r="X7" s="12" t="n">
        <f aca="false">IF($F7="Expired",Scoring!$B$18,IF($G7="",Scoring!$B$17,IF(W7&lt;=Scoring!$B$12,Scoring!$B$13,IF(W7&lt;=Scoring!$B$14,Scoring!$B$15,Scoring!$B$16))))</f>
        <v>2</v>
      </c>
      <c r="Y7" s="15" t="str">
        <f aca="false">IF($M7="","",ROUND((S7*Scoring!$B$6+U7*Scoring!$B$7)*IFERROR(INDEX(Scoring!$B$22:$B$24,MATCH($N7,Scoring!$A$22:$A$24,0)),1)+V7*Scoring!$B$8+X7,2))</f>
        <v/>
      </c>
      <c r="Z7" s="12" t="str">
        <f aca="false">IF($M7="","",IF(SUMPRODUCT(($M$5:$M$249=$M7)*($G$5:$G$249&gt;$G7))&gt;0,0,IF(SUMPRODUCT(($M$5:$M$249=$M7)*($G$5:$G$249=$G7)*(ROW($M$5:$M$249)&lt;ROW($M7)))&gt;0,0,1)))</f>
        <v/>
      </c>
      <c r="AA7" s="12" t="str">
        <f aca="false">IF($Z7=1,RANK($AE7,$AE$5:$AE$249,0),"")</f>
        <v/>
      </c>
      <c r="AB7" s="7" t="s">
        <v>153</v>
      </c>
      <c r="AC7" s="6" t="s">
        <v>154</v>
      </c>
      <c r="AD7" s="6"/>
      <c r="AE7" s="25" t="str">
        <f aca="false">IF($Z7=1,$Y7+$T7/1000000000-ROW()/10000000,"")</f>
        <v/>
      </c>
    </row>
    <row r="8" customFormat="false" ht="23.85" hidden="false" customHeight="false" outlineLevel="0" collapsed="false">
      <c r="A8" s="7" t="s">
        <v>167</v>
      </c>
      <c r="B8" s="6" t="s">
        <v>168</v>
      </c>
      <c r="C8" s="6" t="s">
        <v>169</v>
      </c>
      <c r="D8" s="7" t="s">
        <v>145</v>
      </c>
      <c r="E8" s="7" t="s">
        <v>146</v>
      </c>
      <c r="F8" s="12" t="s">
        <v>147</v>
      </c>
      <c r="G8" s="13" t="n">
        <v>46061</v>
      </c>
      <c r="H8" s="7" t="s">
        <v>170</v>
      </c>
      <c r="I8" s="6" t="s">
        <v>149</v>
      </c>
      <c r="J8" s="7" t="s">
        <v>60</v>
      </c>
      <c r="K8" s="12"/>
      <c r="L8" s="10" t="s">
        <v>171</v>
      </c>
      <c r="M8" s="7" t="s">
        <v>172</v>
      </c>
      <c r="N8" s="12" t="s">
        <v>152</v>
      </c>
      <c r="O8" s="12" t="str">
        <f aca="false">IF($M8="","",IF(COUNTIFS('QC listings'!$A$5:$A$200,$M8,'QC listings'!$C$5:$C$200,O$4,'QC listings'!$F$5:$F$200,"Listing page")+COUNTIFS('QC listings'!$A$5:$A$200,$M8,'QC listings'!$C$5:$C$200,O$4,'QC listings'!$F$5:$F$200,"Brand page")&gt;0,"Y",IF(COUNTIFS('QC listings'!$A$5:$A$200,$M8,'QC listings'!$C$5:$C$200,O$4)&gt;0,"?","–")))</f>
        <v>Y</v>
      </c>
      <c r="P8" s="12" t="str">
        <f aca="false">IF($M8="","",IF(COUNTIFS('QC listings'!$A$5:$A$200,$M8,'QC listings'!$C$5:$C$200,P$4,'QC listings'!$F$5:$F$200,"Listing page")+COUNTIFS('QC listings'!$A$5:$A$200,$M8,'QC listings'!$C$5:$C$200,P$4,'QC listings'!$F$5:$F$200,"Brand page")&gt;0,"Y",IF(COUNTIFS('QC listings'!$A$5:$A$200,$M8,'QC listings'!$C$5:$C$200,P$4)&gt;0,"?","–")))</f>
        <v>Y</v>
      </c>
      <c r="Q8" s="12" t="str">
        <f aca="false">IF($M8="","",IF(COUNTIFS('QC listings'!$A$5:$A$200,$M8,'QC listings'!$C$5:$C$200,Q$4,'QC listings'!$F$5:$F$200,"Listing page")+COUNTIFS('QC listings'!$A$5:$A$200,$M8,'QC listings'!$C$5:$C$200,Q$4,'QC listings'!$F$5:$F$200,"Brand page")&gt;0,"Y",IF(COUNTIFS('QC listings'!$A$5:$A$200,$M8,'QC listings'!$C$5:$C$200,Q$4)&gt;0,"?","–")))</f>
        <v>Y</v>
      </c>
      <c r="R8" s="12" t="str">
        <f aca="false">IF($M8="","",IF(COUNTIFS('QC listings'!$A$5:$A$200,$M8,'QC listings'!$C$5:$C$200,R$4,'QC listings'!$F$5:$F$200,"Listing page")+COUNTIFS('QC listings'!$A$5:$A$200,$M8,'QC listings'!$C$5:$C$200,R$4,'QC listings'!$F$5:$F$200,"Brand page")&gt;0,"Y",IF(COUNTIFS('QC listings'!$A$5:$A$200,$M8,'QC listings'!$C$5:$C$200,R$4)&gt;0,"?","–")))</f>
        <v>–</v>
      </c>
      <c r="S8" s="12" t="n">
        <f aca="false">IF($M8="","",COUNTIF(O8:R8,"Y"))</f>
        <v>3</v>
      </c>
      <c r="T8" s="23" t="n">
        <f aca="false">IF($M8="","",SUMPRODUCT(MAX(('QC listings'!$A$5:$A$200=$M8)*'QC listings'!$E$5:$E$200)))</f>
        <v>13966</v>
      </c>
      <c r="U8" s="12" t="n">
        <f aca="false">IF($M8="","",IF(T8&gt;=Scoring!$B$11,3,IF(T8&gt;=Scoring!$B$10,2,IF(T8&gt;=Scoring!$B$9,1,0))))</f>
        <v>2</v>
      </c>
      <c r="V8" s="12" t="n">
        <f aca="false">IFERROR(INDEX(Scoring!$B$27:$B$56,MATCH($E8,Scoring!$A$27:$A$56,0)),0)</f>
        <v>1</v>
      </c>
      <c r="W8" s="24" t="n">
        <f aca="false">IF($G8="","",ROUND((Scoring!$B$5-$G8)/30.4375,1))</f>
        <v>7.8</v>
      </c>
      <c r="X8" s="12" t="n">
        <f aca="false">IF($F8="Expired",Scoring!$B$18,IF($G8="",Scoring!$B$17,IF(W8&lt;=Scoring!$B$12,Scoring!$B$13,IF(W8&lt;=Scoring!$B$14,Scoring!$B$15,Scoring!$B$16))))</f>
        <v>2</v>
      </c>
      <c r="Y8" s="15" t="n">
        <f aca="false">IF($M8="","",ROUND((S8*Scoring!$B$6+U8*Scoring!$B$7)*IFERROR(INDEX(Scoring!$B$22:$B$24,MATCH($N8,Scoring!$A$22:$A$24,0)),1)+V8*Scoring!$B$8+X8,2))</f>
        <v>11</v>
      </c>
      <c r="Z8" s="12" t="n">
        <f aca="false">IF($M8="","",IF(SUMPRODUCT(($M$5:$M$249=$M8)*($G$5:$G$249&gt;$G8))&gt;0,0,IF(SUMPRODUCT(($M$5:$M$249=$M8)*($G$5:$G$249=$G8)*(ROW($M$5:$M$249)&lt;ROW($M8)))&gt;0,0,1)))</f>
        <v>1</v>
      </c>
      <c r="AA8" s="12" t="n">
        <f aca="false">IF($Z8=1,RANK($AE8,$AE$5:$AE$249,0),"")</f>
        <v>8</v>
      </c>
      <c r="AB8" s="7" t="s">
        <v>153</v>
      </c>
      <c r="AC8" s="6" t="s">
        <v>154</v>
      </c>
      <c r="AD8" s="6" t="s">
        <v>173</v>
      </c>
      <c r="AE8" s="25" t="n">
        <f aca="false">IF($Z8=1,$Y8+$T8/1000000000-ROW()/10000000,"")</f>
        <v>11.000013166</v>
      </c>
    </row>
    <row r="9" customFormat="false" ht="23.85" hidden="false" customHeight="false" outlineLevel="0" collapsed="false">
      <c r="A9" s="7" t="s">
        <v>174</v>
      </c>
      <c r="B9" s="6" t="s">
        <v>175</v>
      </c>
      <c r="C9" s="6" t="s">
        <v>169</v>
      </c>
      <c r="D9" s="7" t="s">
        <v>145</v>
      </c>
      <c r="E9" s="7" t="s">
        <v>146</v>
      </c>
      <c r="F9" s="12" t="s">
        <v>147</v>
      </c>
      <c r="G9" s="13" t="n">
        <v>46061</v>
      </c>
      <c r="H9" s="7" t="s">
        <v>176</v>
      </c>
      <c r="I9" s="6" t="s">
        <v>149</v>
      </c>
      <c r="J9" s="7" t="s">
        <v>60</v>
      </c>
      <c r="K9" s="12"/>
      <c r="L9" s="10" t="s">
        <v>177</v>
      </c>
      <c r="M9" s="7" t="s">
        <v>178</v>
      </c>
      <c r="N9" s="12" t="s">
        <v>152</v>
      </c>
      <c r="O9" s="12" t="str">
        <f aca="false">IF($M9="","",IF(COUNTIFS('QC listings'!$A$5:$A$200,$M9,'QC listings'!$C$5:$C$200,O$4,'QC listings'!$F$5:$F$200,"Listing page")+COUNTIFS('QC listings'!$A$5:$A$200,$M9,'QC listings'!$C$5:$C$200,O$4,'QC listings'!$F$5:$F$200,"Brand page")&gt;0,"Y",IF(COUNTIFS('QC listings'!$A$5:$A$200,$M9,'QC listings'!$C$5:$C$200,O$4)&gt;0,"?","–")))</f>
        <v>Y</v>
      </c>
      <c r="P9" s="12" t="str">
        <f aca="false">IF($M9="","",IF(COUNTIFS('QC listings'!$A$5:$A$200,$M9,'QC listings'!$C$5:$C$200,P$4,'QC listings'!$F$5:$F$200,"Listing page")+COUNTIFS('QC listings'!$A$5:$A$200,$M9,'QC listings'!$C$5:$C$200,P$4,'QC listings'!$F$5:$F$200,"Brand page")&gt;0,"Y",IF(COUNTIFS('QC listings'!$A$5:$A$200,$M9,'QC listings'!$C$5:$C$200,P$4)&gt;0,"?","–")))</f>
        <v>Y</v>
      </c>
      <c r="Q9" s="12" t="str">
        <f aca="false">IF($M9="","",IF(COUNTIFS('QC listings'!$A$5:$A$200,$M9,'QC listings'!$C$5:$C$200,Q$4,'QC listings'!$F$5:$F$200,"Listing page")+COUNTIFS('QC listings'!$A$5:$A$200,$M9,'QC listings'!$C$5:$C$200,Q$4,'QC listings'!$F$5:$F$200,"Brand page")&gt;0,"Y",IF(COUNTIFS('QC listings'!$A$5:$A$200,$M9,'QC listings'!$C$5:$C$200,Q$4)&gt;0,"?","–")))</f>
        <v>Y</v>
      </c>
      <c r="R9" s="12" t="str">
        <f aca="false">IF($M9="","",IF(COUNTIFS('QC listings'!$A$5:$A$200,$M9,'QC listings'!$C$5:$C$200,R$4,'QC listings'!$F$5:$F$200,"Listing page")+COUNTIFS('QC listings'!$A$5:$A$200,$M9,'QC listings'!$C$5:$C$200,R$4,'QC listings'!$F$5:$F$200,"Brand page")&gt;0,"Y",IF(COUNTIFS('QC listings'!$A$5:$A$200,$M9,'QC listings'!$C$5:$C$200,R$4)&gt;0,"?","–")))</f>
        <v>Y</v>
      </c>
      <c r="S9" s="12" t="n">
        <f aca="false">IF($M9="","",COUNTIF(O9:R9,"Y"))</f>
        <v>4</v>
      </c>
      <c r="T9" s="23" t="n">
        <f aca="false">IF($M9="","",SUMPRODUCT(MAX(('QC listings'!$A$5:$A$200=$M9)*'QC listings'!$E$5:$E$200)))</f>
        <v>302321</v>
      </c>
      <c r="U9" s="12" t="n">
        <f aca="false">IF($M9="","",IF(T9&gt;=Scoring!$B$11,3,IF(T9&gt;=Scoring!$B$10,2,IF(T9&gt;=Scoring!$B$9,1,0))))</f>
        <v>3</v>
      </c>
      <c r="V9" s="12" t="n">
        <f aca="false">IFERROR(INDEX(Scoring!$B$27:$B$56,MATCH($E9,Scoring!$A$27:$A$56,0)),0)</f>
        <v>1</v>
      </c>
      <c r="W9" s="24" t="n">
        <f aca="false">IF($G9="","",ROUND((Scoring!$B$5-$G9)/30.4375,1))</f>
        <v>7.8</v>
      </c>
      <c r="X9" s="12" t="n">
        <f aca="false">IF($F9="Expired",Scoring!$B$18,IF($G9="",Scoring!$B$17,IF(W9&lt;=Scoring!$B$12,Scoring!$B$13,IF(W9&lt;=Scoring!$B$14,Scoring!$B$15,Scoring!$B$16))))</f>
        <v>2</v>
      </c>
      <c r="Y9" s="15" t="n">
        <f aca="false">IF($M9="","",ROUND((S9*Scoring!$B$6+U9*Scoring!$B$7)*IFERROR(INDEX(Scoring!$B$22:$B$24,MATCH($N9,Scoring!$A$22:$A$24,0)),1)+V9*Scoring!$B$8+X9,2))</f>
        <v>14</v>
      </c>
      <c r="Z9" s="12" t="n">
        <f aca="false">IF($M9="","",IF(SUMPRODUCT(($M$5:$M$249=$M9)*($G$5:$G$249&gt;$G9))&gt;0,0,IF(SUMPRODUCT(($M$5:$M$249=$M9)*($G$5:$G$249=$G9)*(ROW($M$5:$M$249)&lt;ROW($M9)))&gt;0,0,1)))</f>
        <v>1</v>
      </c>
      <c r="AA9" s="12" t="n">
        <f aca="false">IF($Z9=1,RANK($AE9,$AE$5:$AE$249,0),"")</f>
        <v>1</v>
      </c>
      <c r="AB9" s="7" t="s">
        <v>153</v>
      </c>
      <c r="AC9" s="6" t="s">
        <v>154</v>
      </c>
      <c r="AD9" s="6"/>
      <c r="AE9" s="25" t="n">
        <f aca="false">IF($Z9=1,$Y9+$T9/1000000000-ROW()/10000000,"")</f>
        <v>14.000301421</v>
      </c>
    </row>
    <row r="10" customFormat="false" ht="23.85" hidden="false" customHeight="false" outlineLevel="0" collapsed="false">
      <c r="A10" s="7" t="s">
        <v>179</v>
      </c>
      <c r="B10" s="6" t="s">
        <v>143</v>
      </c>
      <c r="C10" s="6" t="s">
        <v>180</v>
      </c>
      <c r="D10" s="7" t="s">
        <v>145</v>
      </c>
      <c r="E10" s="7" t="s">
        <v>181</v>
      </c>
      <c r="F10" s="12" t="s">
        <v>147</v>
      </c>
      <c r="G10" s="13" t="n">
        <v>46026</v>
      </c>
      <c r="H10" s="7" t="s">
        <v>182</v>
      </c>
      <c r="I10" s="6" t="s">
        <v>149</v>
      </c>
      <c r="J10" s="7" t="s">
        <v>60</v>
      </c>
      <c r="K10" s="12"/>
      <c r="L10" s="10" t="s">
        <v>183</v>
      </c>
      <c r="M10" s="7" t="s">
        <v>184</v>
      </c>
      <c r="N10" s="12" t="s">
        <v>152</v>
      </c>
      <c r="O10" s="12" t="str">
        <f aca="false">IF($M10="","",IF(COUNTIFS('QC listings'!$A$5:$A$200,$M10,'QC listings'!$C$5:$C$200,O$4,'QC listings'!$F$5:$F$200,"Listing page")+COUNTIFS('QC listings'!$A$5:$A$200,$M10,'QC listings'!$C$5:$C$200,O$4,'QC listings'!$F$5:$F$200,"Brand page")&gt;0,"Y",IF(COUNTIFS('QC listings'!$A$5:$A$200,$M10,'QC listings'!$C$5:$C$200,O$4)&gt;0,"?","–")))</f>
        <v>Y</v>
      </c>
      <c r="P10" s="12" t="str">
        <f aca="false">IF($M10="","",IF(COUNTIFS('QC listings'!$A$5:$A$200,$M10,'QC listings'!$C$5:$C$200,P$4,'QC listings'!$F$5:$F$200,"Listing page")+COUNTIFS('QC listings'!$A$5:$A$200,$M10,'QC listings'!$C$5:$C$200,P$4,'QC listings'!$F$5:$F$200,"Brand page")&gt;0,"Y",IF(COUNTIFS('QC listings'!$A$5:$A$200,$M10,'QC listings'!$C$5:$C$200,P$4)&gt;0,"?","–")))</f>
        <v>–</v>
      </c>
      <c r="Q10" s="12" t="str">
        <f aca="false">IF($M10="","",IF(COUNTIFS('QC listings'!$A$5:$A$200,$M10,'QC listings'!$C$5:$C$200,Q$4,'QC listings'!$F$5:$F$200,"Listing page")+COUNTIFS('QC listings'!$A$5:$A$200,$M10,'QC listings'!$C$5:$C$200,Q$4,'QC listings'!$F$5:$F$200,"Brand page")&gt;0,"Y",IF(COUNTIFS('QC listings'!$A$5:$A$200,$M10,'QC listings'!$C$5:$C$200,Q$4)&gt;0,"?","–")))</f>
        <v>–</v>
      </c>
      <c r="R10" s="12" t="str">
        <f aca="false">IF($M10="","",IF(COUNTIFS('QC listings'!$A$5:$A$200,$M10,'QC listings'!$C$5:$C$200,R$4,'QC listings'!$F$5:$F$200,"Listing page")+COUNTIFS('QC listings'!$A$5:$A$200,$M10,'QC listings'!$C$5:$C$200,R$4,'QC listings'!$F$5:$F$200,"Brand page")&gt;0,"Y",IF(COUNTIFS('QC listings'!$A$5:$A$200,$M10,'QC listings'!$C$5:$C$200,R$4)&gt;0,"?","–")))</f>
        <v>–</v>
      </c>
      <c r="S10" s="12" t="n">
        <f aca="false">IF($M10="","",COUNTIF(O10:R10,"Y"))</f>
        <v>1</v>
      </c>
      <c r="T10" s="23" t="n">
        <f aca="false">IF($M10="","",SUMPRODUCT(MAX(('QC listings'!$A$5:$A$200=$M10)*'QC listings'!$E$5:$E$200)))</f>
        <v>660000</v>
      </c>
      <c r="U10" s="12" t="n">
        <f aca="false">IF($M10="","",IF(T10&gt;=Scoring!$B$11,3,IF(T10&gt;=Scoring!$B$10,2,IF(T10&gt;=Scoring!$B$9,1,0))))</f>
        <v>3</v>
      </c>
      <c r="V10" s="12" t="n">
        <f aca="false">IFERROR(INDEX(Scoring!$B$27:$B$56,MATCH($E10,Scoring!$A$27:$A$56,0)),0)</f>
        <v>1</v>
      </c>
      <c r="W10" s="24" t="n">
        <f aca="false">IF($G10="","",ROUND((Scoring!$B$5-$G10)/30.4375,1))</f>
        <v>8.9</v>
      </c>
      <c r="X10" s="12" t="n">
        <f aca="false">IF($F10="Expired",Scoring!$B$18,IF($G10="",Scoring!$B$17,IF(W10&lt;=Scoring!$B$12,Scoring!$B$13,IF(W10&lt;=Scoring!$B$14,Scoring!$B$15,Scoring!$B$16))))</f>
        <v>2</v>
      </c>
      <c r="Y10" s="15" t="n">
        <f aca="false">IF($M10="","",ROUND((S10*Scoring!$B$6+U10*Scoring!$B$7)*IFERROR(INDEX(Scoring!$B$22:$B$24,MATCH($N10,Scoring!$A$22:$A$24,0)),1)+V10*Scoring!$B$8+X10,2))</f>
        <v>11</v>
      </c>
      <c r="Z10" s="12" t="n">
        <f aca="false">IF($M10="","",IF(SUMPRODUCT(($M$5:$M$249=$M10)*($G$5:$G$249&gt;$G10))&gt;0,0,IF(SUMPRODUCT(($M$5:$M$249=$M10)*($G$5:$G$249=$G10)*(ROW($M$5:$M$249)&lt;ROW($M10)))&gt;0,0,1)))</f>
        <v>1</v>
      </c>
      <c r="AA10" s="12" t="n">
        <f aca="false">IF($Z10=1,RANK($AE10,$AE$5:$AE$249,0),"")</f>
        <v>5</v>
      </c>
      <c r="AB10" s="7" t="s">
        <v>153</v>
      </c>
      <c r="AC10" s="6" t="s">
        <v>154</v>
      </c>
      <c r="AD10" s="6" t="s">
        <v>185</v>
      </c>
      <c r="AE10" s="25" t="n">
        <f aca="false">IF($Z10=1,$Y10+$T10/1000000000-ROW()/10000000,"")</f>
        <v>11.000659</v>
      </c>
    </row>
    <row r="11" customFormat="false" ht="23.85" hidden="false" customHeight="false" outlineLevel="0" collapsed="false">
      <c r="A11" s="7" t="s">
        <v>186</v>
      </c>
      <c r="B11" s="6" t="s">
        <v>143</v>
      </c>
      <c r="C11" s="6" t="s">
        <v>187</v>
      </c>
      <c r="D11" s="7" t="s">
        <v>145</v>
      </c>
      <c r="E11" s="7" t="s">
        <v>181</v>
      </c>
      <c r="F11" s="12" t="s">
        <v>158</v>
      </c>
      <c r="G11" s="13" t="n">
        <v>46026</v>
      </c>
      <c r="H11" s="7" t="s">
        <v>188</v>
      </c>
      <c r="I11" s="6" t="s">
        <v>149</v>
      </c>
      <c r="J11" s="7" t="s">
        <v>60</v>
      </c>
      <c r="K11" s="12"/>
      <c r="L11" s="10" t="s">
        <v>189</v>
      </c>
      <c r="M11" s="7" t="s">
        <v>190</v>
      </c>
      <c r="N11" s="12" t="s">
        <v>152</v>
      </c>
      <c r="O11" s="12" t="str">
        <f aca="false">IF($M11="","",IF(COUNTIFS('QC listings'!$A$5:$A$200,$M11,'QC listings'!$C$5:$C$200,O$4,'QC listings'!$F$5:$F$200,"Listing page")+COUNTIFS('QC listings'!$A$5:$A$200,$M11,'QC listings'!$C$5:$C$200,O$4,'QC listings'!$F$5:$F$200,"Brand page")&gt;0,"Y",IF(COUNTIFS('QC listings'!$A$5:$A$200,$M11,'QC listings'!$C$5:$C$200,O$4)&gt;0,"?","–")))</f>
        <v>–</v>
      </c>
      <c r="P11" s="12" t="str">
        <f aca="false">IF($M11="","",IF(COUNTIFS('QC listings'!$A$5:$A$200,$M11,'QC listings'!$C$5:$C$200,P$4,'QC listings'!$F$5:$F$200,"Listing page")+COUNTIFS('QC listings'!$A$5:$A$200,$M11,'QC listings'!$C$5:$C$200,P$4,'QC listings'!$F$5:$F$200,"Brand page")&gt;0,"Y",IF(COUNTIFS('QC listings'!$A$5:$A$200,$M11,'QC listings'!$C$5:$C$200,P$4)&gt;0,"?","–")))</f>
        <v>Y</v>
      </c>
      <c r="Q11" s="12" t="str">
        <f aca="false">IF($M11="","",IF(COUNTIFS('QC listings'!$A$5:$A$200,$M11,'QC listings'!$C$5:$C$200,Q$4,'QC listings'!$F$5:$F$200,"Listing page")+COUNTIFS('QC listings'!$A$5:$A$200,$M11,'QC listings'!$C$5:$C$200,Q$4,'QC listings'!$F$5:$F$200,"Brand page")&gt;0,"Y",IF(COUNTIFS('QC listings'!$A$5:$A$200,$M11,'QC listings'!$C$5:$C$200,Q$4)&gt;0,"?","–")))</f>
        <v>–</v>
      </c>
      <c r="R11" s="12" t="str">
        <f aca="false">IF($M11="","",IF(COUNTIFS('QC listings'!$A$5:$A$200,$M11,'QC listings'!$C$5:$C$200,R$4,'QC listings'!$F$5:$F$200,"Listing page")+COUNTIFS('QC listings'!$A$5:$A$200,$M11,'QC listings'!$C$5:$C$200,R$4,'QC listings'!$F$5:$F$200,"Brand page")&gt;0,"Y",IF(COUNTIFS('QC listings'!$A$5:$A$200,$M11,'QC listings'!$C$5:$C$200,R$4)&gt;0,"?","–")))</f>
        <v>Y</v>
      </c>
      <c r="S11" s="12" t="n">
        <f aca="false">IF($M11="","",COUNTIF(O11:R11,"Y"))</f>
        <v>2</v>
      </c>
      <c r="T11" s="23" t="n">
        <f aca="false">IF($M11="","",SUMPRODUCT(MAX(('QC listings'!$A$5:$A$200=$M11)*'QC listings'!$E$5:$E$200)))</f>
        <v>103152</v>
      </c>
      <c r="U11" s="12" t="n">
        <f aca="false">IF($M11="","",IF(T11&gt;=Scoring!$B$11,3,IF(T11&gt;=Scoring!$B$10,2,IF(T11&gt;=Scoring!$B$9,1,0))))</f>
        <v>3</v>
      </c>
      <c r="V11" s="12" t="n">
        <f aca="false">IFERROR(INDEX(Scoring!$B$27:$B$56,MATCH($E11,Scoring!$A$27:$A$56,0)),0)</f>
        <v>1</v>
      </c>
      <c r="W11" s="24" t="n">
        <f aca="false">IF($G11="","",ROUND((Scoring!$B$5-$G11)/30.4375,1))</f>
        <v>8.9</v>
      </c>
      <c r="X11" s="12" t="n">
        <f aca="false">IF($F11="Expired",Scoring!$B$18,IF($G11="",Scoring!$B$17,IF(W11&lt;=Scoring!$B$12,Scoring!$B$13,IF(W11&lt;=Scoring!$B$14,Scoring!$B$15,Scoring!$B$16))))</f>
        <v>2</v>
      </c>
      <c r="Y11" s="15" t="n">
        <f aca="false">IF($M11="","",ROUND((S11*Scoring!$B$6+U11*Scoring!$B$7)*IFERROR(INDEX(Scoring!$B$22:$B$24,MATCH($N11,Scoring!$A$22:$A$24,0)),1)+V11*Scoring!$B$8+X11,2))</f>
        <v>12</v>
      </c>
      <c r="Z11" s="12" t="n">
        <f aca="false">IF($M11="","",IF(SUMPRODUCT(($M$5:$M$249=$M11)*($G$5:$G$249&gt;$G11))&gt;0,0,IF(SUMPRODUCT(($M$5:$M$249=$M11)*($G$5:$G$249=$G11)*(ROW($M$5:$M$249)&lt;ROW($M11)))&gt;0,0,1)))</f>
        <v>1</v>
      </c>
      <c r="AA11" s="12" t="n">
        <f aca="false">IF($Z11=1,RANK($AE11,$AE$5:$AE$249,0),"")</f>
        <v>4</v>
      </c>
      <c r="AB11" s="7" t="s">
        <v>153</v>
      </c>
      <c r="AC11" s="6" t="s">
        <v>162</v>
      </c>
      <c r="AD11" s="6" t="s">
        <v>191</v>
      </c>
      <c r="AE11" s="25" t="n">
        <f aca="false">IF($Z11=1,$Y11+$T11/1000000000-ROW()/10000000,"")</f>
        <v>12.000102052</v>
      </c>
    </row>
    <row r="12" customFormat="false" ht="23.85" hidden="false" customHeight="false" outlineLevel="0" collapsed="false">
      <c r="A12" s="7" t="s">
        <v>192</v>
      </c>
      <c r="B12" s="6" t="s">
        <v>193</v>
      </c>
      <c r="C12" s="6" t="s">
        <v>194</v>
      </c>
      <c r="D12" s="7" t="s">
        <v>145</v>
      </c>
      <c r="E12" s="7" t="s">
        <v>181</v>
      </c>
      <c r="F12" s="12" t="s">
        <v>158</v>
      </c>
      <c r="G12" s="13" t="n">
        <v>45718</v>
      </c>
      <c r="H12" s="7" t="s">
        <v>195</v>
      </c>
      <c r="I12" s="6" t="s">
        <v>149</v>
      </c>
      <c r="J12" s="7" t="s">
        <v>60</v>
      </c>
      <c r="K12" s="12"/>
      <c r="L12" s="10" t="s">
        <v>196</v>
      </c>
      <c r="M12" s="7"/>
      <c r="N12" s="12"/>
      <c r="O12" s="12" t="str">
        <f aca="false">IF($M12="","",IF(COUNTIFS('QC listings'!$A$5:$A$200,$M12,'QC listings'!$C$5:$C$200,O$4,'QC listings'!$F$5:$F$200,"Listing page")+COUNTIFS('QC listings'!$A$5:$A$200,$M12,'QC listings'!$C$5:$C$200,O$4,'QC listings'!$F$5:$F$200,"Brand page")&gt;0,"Y",IF(COUNTIFS('QC listings'!$A$5:$A$200,$M12,'QC listings'!$C$5:$C$200,O$4)&gt;0,"?","–")))</f>
        <v/>
      </c>
      <c r="P12" s="12" t="str">
        <f aca="false">IF($M12="","",IF(COUNTIFS('QC listings'!$A$5:$A$200,$M12,'QC listings'!$C$5:$C$200,P$4,'QC listings'!$F$5:$F$200,"Listing page")+COUNTIFS('QC listings'!$A$5:$A$200,$M12,'QC listings'!$C$5:$C$200,P$4,'QC listings'!$F$5:$F$200,"Brand page")&gt;0,"Y",IF(COUNTIFS('QC listings'!$A$5:$A$200,$M12,'QC listings'!$C$5:$C$200,P$4)&gt;0,"?","–")))</f>
        <v/>
      </c>
      <c r="Q12" s="12" t="str">
        <f aca="false">IF($M12="","",IF(COUNTIFS('QC listings'!$A$5:$A$200,$M12,'QC listings'!$C$5:$C$200,Q$4,'QC listings'!$F$5:$F$200,"Listing page")+COUNTIFS('QC listings'!$A$5:$A$200,$M12,'QC listings'!$C$5:$C$200,Q$4,'QC listings'!$F$5:$F$200,"Brand page")&gt;0,"Y",IF(COUNTIFS('QC listings'!$A$5:$A$200,$M12,'QC listings'!$C$5:$C$200,Q$4)&gt;0,"?","–")))</f>
        <v/>
      </c>
      <c r="R12" s="12" t="str">
        <f aca="false">IF($M12="","",IF(COUNTIFS('QC listings'!$A$5:$A$200,$M12,'QC listings'!$C$5:$C$200,R$4,'QC listings'!$F$5:$F$200,"Listing page")+COUNTIFS('QC listings'!$A$5:$A$200,$M12,'QC listings'!$C$5:$C$200,R$4,'QC listings'!$F$5:$F$200,"Brand page")&gt;0,"Y",IF(COUNTIFS('QC listings'!$A$5:$A$200,$M12,'QC listings'!$C$5:$C$200,R$4)&gt;0,"?","–")))</f>
        <v/>
      </c>
      <c r="S12" s="12" t="str">
        <f aca="false">IF($M12="","",COUNTIF(O12:R12,"Y"))</f>
        <v/>
      </c>
      <c r="T12" s="23" t="str">
        <f aca="false">IF($M12="","",SUMPRODUCT(MAX(('QC listings'!$A$5:$A$200=$M12)*'QC listings'!$E$5:$E$200)))</f>
        <v/>
      </c>
      <c r="U12" s="12" t="str">
        <f aca="false">IF($M12="","",IF(T12&gt;=Scoring!$B$11,3,IF(T12&gt;=Scoring!$B$10,2,IF(T12&gt;=Scoring!$B$9,1,0))))</f>
        <v/>
      </c>
      <c r="V12" s="12" t="n">
        <f aca="false">IFERROR(INDEX(Scoring!$B$27:$B$56,MATCH($E12,Scoring!$A$27:$A$56,0)),0)</f>
        <v>1</v>
      </c>
      <c r="W12" s="24" t="n">
        <f aca="false">IF($G12="","",ROUND((Scoring!$B$5-$G12)/30.4375,1))</f>
        <v>19</v>
      </c>
      <c r="X12" s="12" t="n">
        <f aca="false">IF($F12="Expired",Scoring!$B$18,IF($G12="",Scoring!$B$17,IF(W12&lt;=Scoring!$B$12,Scoring!$B$13,IF(W12&lt;=Scoring!$B$14,Scoring!$B$15,Scoring!$B$16))))</f>
        <v>1</v>
      </c>
      <c r="Y12" s="15" t="str">
        <f aca="false">IF($M12="","",ROUND((S12*Scoring!$B$6+U12*Scoring!$B$7)*IFERROR(INDEX(Scoring!$B$22:$B$24,MATCH($N12,Scoring!$A$22:$A$24,0)),1)+V12*Scoring!$B$8+X12,2))</f>
        <v/>
      </c>
      <c r="Z12" s="12" t="str">
        <f aca="false">IF($M12="","",IF(SUMPRODUCT(($M$5:$M$249=$M12)*($G$5:$G$249&gt;$G12))&gt;0,0,IF(SUMPRODUCT(($M$5:$M$249=$M12)*($G$5:$G$249=$G12)*(ROW($M$5:$M$249)&lt;ROW($M12)))&gt;0,0,1)))</f>
        <v/>
      </c>
      <c r="AA12" s="12" t="str">
        <f aca="false">IF($Z12=1,RANK($AE12,$AE$5:$AE$249,0),"")</f>
        <v/>
      </c>
      <c r="AB12" s="7" t="s">
        <v>153</v>
      </c>
      <c r="AC12" s="6" t="s">
        <v>162</v>
      </c>
      <c r="AD12" s="6"/>
      <c r="AE12" s="25" t="str">
        <f aca="false">IF($Z12=1,$Y12+$T12/1000000000-ROW()/10000000,"")</f>
        <v/>
      </c>
    </row>
    <row r="13" customFormat="false" ht="23.85" hidden="false" customHeight="false" outlineLevel="0" collapsed="false">
      <c r="A13" s="7" t="s">
        <v>197</v>
      </c>
      <c r="B13" s="6" t="s">
        <v>198</v>
      </c>
      <c r="C13" s="6" t="s">
        <v>199</v>
      </c>
      <c r="D13" s="7" t="s">
        <v>145</v>
      </c>
      <c r="E13" s="7" t="s">
        <v>200</v>
      </c>
      <c r="F13" s="12" t="s">
        <v>201</v>
      </c>
      <c r="G13" s="13"/>
      <c r="H13" s="7"/>
      <c r="I13" s="6" t="s">
        <v>202</v>
      </c>
      <c r="J13" s="7" t="s">
        <v>203</v>
      </c>
      <c r="K13" s="12"/>
      <c r="L13" s="10" t="s">
        <v>204</v>
      </c>
      <c r="M13" s="7"/>
      <c r="N13" s="12"/>
      <c r="O13" s="12" t="str">
        <f aca="false">IF($M13="","",IF(COUNTIFS('QC listings'!$A$5:$A$200,$M13,'QC listings'!$C$5:$C$200,O$4,'QC listings'!$F$5:$F$200,"Listing page")+COUNTIFS('QC listings'!$A$5:$A$200,$M13,'QC listings'!$C$5:$C$200,O$4,'QC listings'!$F$5:$F$200,"Brand page")&gt;0,"Y",IF(COUNTIFS('QC listings'!$A$5:$A$200,$M13,'QC listings'!$C$5:$C$200,O$4)&gt;0,"?","–")))</f>
        <v/>
      </c>
      <c r="P13" s="12" t="str">
        <f aca="false">IF($M13="","",IF(COUNTIFS('QC listings'!$A$5:$A$200,$M13,'QC listings'!$C$5:$C$200,P$4,'QC listings'!$F$5:$F$200,"Listing page")+COUNTIFS('QC listings'!$A$5:$A$200,$M13,'QC listings'!$C$5:$C$200,P$4,'QC listings'!$F$5:$F$200,"Brand page")&gt;0,"Y",IF(COUNTIFS('QC listings'!$A$5:$A$200,$M13,'QC listings'!$C$5:$C$200,P$4)&gt;0,"?","–")))</f>
        <v/>
      </c>
      <c r="Q13" s="12" t="str">
        <f aca="false">IF($M13="","",IF(COUNTIFS('QC listings'!$A$5:$A$200,$M13,'QC listings'!$C$5:$C$200,Q$4,'QC listings'!$F$5:$F$200,"Listing page")+COUNTIFS('QC listings'!$A$5:$A$200,$M13,'QC listings'!$C$5:$C$200,Q$4,'QC listings'!$F$5:$F$200,"Brand page")&gt;0,"Y",IF(COUNTIFS('QC listings'!$A$5:$A$200,$M13,'QC listings'!$C$5:$C$200,Q$4)&gt;0,"?","–")))</f>
        <v/>
      </c>
      <c r="R13" s="12" t="str">
        <f aca="false">IF($M13="","",IF(COUNTIFS('QC listings'!$A$5:$A$200,$M13,'QC listings'!$C$5:$C$200,R$4,'QC listings'!$F$5:$F$200,"Listing page")+COUNTIFS('QC listings'!$A$5:$A$200,$M13,'QC listings'!$C$5:$C$200,R$4,'QC listings'!$F$5:$F$200,"Brand page")&gt;0,"Y",IF(COUNTIFS('QC listings'!$A$5:$A$200,$M13,'QC listings'!$C$5:$C$200,R$4)&gt;0,"?","–")))</f>
        <v/>
      </c>
      <c r="S13" s="12" t="str">
        <f aca="false">IF($M13="","",COUNTIF(O13:R13,"Y"))</f>
        <v/>
      </c>
      <c r="T13" s="23" t="str">
        <f aca="false">IF($M13="","",SUMPRODUCT(MAX(('QC listings'!$A$5:$A$200=$M13)*'QC listings'!$E$5:$E$200)))</f>
        <v/>
      </c>
      <c r="U13" s="12" t="str">
        <f aca="false">IF($M13="","",IF(T13&gt;=Scoring!$B$11,3,IF(T13&gt;=Scoring!$B$10,2,IF(T13&gt;=Scoring!$B$9,1,0))))</f>
        <v/>
      </c>
      <c r="V13" s="12" t="n">
        <f aca="false">IFERROR(INDEX(Scoring!$B$27:$B$56,MATCH($E13,Scoring!$A$27:$A$56,0)),0)</f>
        <v>1</v>
      </c>
      <c r="W13" s="24" t="str">
        <f aca="false">IF($G13="","",ROUND((Scoring!$B$5-$G13)/30.4375,1))</f>
        <v/>
      </c>
      <c r="X13" s="12" t="n">
        <f aca="false">IF($F13="Expired",Scoring!$B$18,IF($G13="",Scoring!$B$17,IF(W13&lt;=Scoring!$B$12,Scoring!$B$13,IF(W13&lt;=Scoring!$B$14,Scoring!$B$15,Scoring!$B$16))))</f>
        <v>1</v>
      </c>
      <c r="Y13" s="15" t="str">
        <f aca="false">IF($M13="","",ROUND((S13*Scoring!$B$6+U13*Scoring!$B$7)*IFERROR(INDEX(Scoring!$B$22:$B$24,MATCH($N13,Scoring!$A$22:$A$24,0)),1)+V13*Scoring!$B$8+X13,2))</f>
        <v/>
      </c>
      <c r="Z13" s="12" t="str">
        <f aca="false">IF($M13="","",IF(SUMPRODUCT(($M$5:$M$249=$M13)*($G$5:$G$249&gt;$G13))&gt;0,0,IF(SUMPRODUCT(($M$5:$M$249=$M13)*($G$5:$G$249=$G13)*(ROW($M$5:$M$249)&lt;ROW($M13)))&gt;0,0,1)))</f>
        <v/>
      </c>
      <c r="AA13" s="12" t="str">
        <f aca="false">IF($Z13=1,RANK($AE13,$AE$5:$AE$249,0),"")</f>
        <v/>
      </c>
      <c r="AB13" s="7" t="s">
        <v>205</v>
      </c>
      <c r="AC13" s="6" t="s">
        <v>206</v>
      </c>
      <c r="AD13" s="6"/>
      <c r="AE13" s="25" t="str">
        <f aca="false">IF($Z13=1,$Y13+$T13/1000000000-ROW()/10000000,"")</f>
        <v/>
      </c>
    </row>
    <row r="14" customFormat="false" ht="23.85" hidden="false" customHeight="false" outlineLevel="0" collapsed="false">
      <c r="A14" s="7" t="s">
        <v>207</v>
      </c>
      <c r="B14" s="6" t="s">
        <v>208</v>
      </c>
      <c r="C14" s="6" t="s">
        <v>209</v>
      </c>
      <c r="D14" s="7" t="s">
        <v>145</v>
      </c>
      <c r="E14" s="7" t="s">
        <v>200</v>
      </c>
      <c r="F14" s="12" t="s">
        <v>147</v>
      </c>
      <c r="G14" s="13" t="n">
        <v>45684</v>
      </c>
      <c r="H14" s="7" t="s">
        <v>210</v>
      </c>
      <c r="I14" s="6" t="s">
        <v>149</v>
      </c>
      <c r="J14" s="7" t="s">
        <v>60</v>
      </c>
      <c r="K14" s="12"/>
      <c r="L14" s="10" t="s">
        <v>211</v>
      </c>
      <c r="M14" s="7"/>
      <c r="N14" s="12"/>
      <c r="O14" s="12" t="str">
        <f aca="false">IF($M14="","",IF(COUNTIFS('QC listings'!$A$5:$A$200,$M14,'QC listings'!$C$5:$C$200,O$4,'QC listings'!$F$5:$F$200,"Listing page")+COUNTIFS('QC listings'!$A$5:$A$200,$M14,'QC listings'!$C$5:$C$200,O$4,'QC listings'!$F$5:$F$200,"Brand page")&gt;0,"Y",IF(COUNTIFS('QC listings'!$A$5:$A$200,$M14,'QC listings'!$C$5:$C$200,O$4)&gt;0,"?","–")))</f>
        <v/>
      </c>
      <c r="P14" s="12" t="str">
        <f aca="false">IF($M14="","",IF(COUNTIFS('QC listings'!$A$5:$A$200,$M14,'QC listings'!$C$5:$C$200,P$4,'QC listings'!$F$5:$F$200,"Listing page")+COUNTIFS('QC listings'!$A$5:$A$200,$M14,'QC listings'!$C$5:$C$200,P$4,'QC listings'!$F$5:$F$200,"Brand page")&gt;0,"Y",IF(COUNTIFS('QC listings'!$A$5:$A$200,$M14,'QC listings'!$C$5:$C$200,P$4)&gt;0,"?","–")))</f>
        <v/>
      </c>
      <c r="Q14" s="12" t="str">
        <f aca="false">IF($M14="","",IF(COUNTIFS('QC listings'!$A$5:$A$200,$M14,'QC listings'!$C$5:$C$200,Q$4,'QC listings'!$F$5:$F$200,"Listing page")+COUNTIFS('QC listings'!$A$5:$A$200,$M14,'QC listings'!$C$5:$C$200,Q$4,'QC listings'!$F$5:$F$200,"Brand page")&gt;0,"Y",IF(COUNTIFS('QC listings'!$A$5:$A$200,$M14,'QC listings'!$C$5:$C$200,Q$4)&gt;0,"?","–")))</f>
        <v/>
      </c>
      <c r="R14" s="12" t="str">
        <f aca="false">IF($M14="","",IF(COUNTIFS('QC listings'!$A$5:$A$200,$M14,'QC listings'!$C$5:$C$200,R$4,'QC listings'!$F$5:$F$200,"Listing page")+COUNTIFS('QC listings'!$A$5:$A$200,$M14,'QC listings'!$C$5:$C$200,R$4,'QC listings'!$F$5:$F$200,"Brand page")&gt;0,"Y",IF(COUNTIFS('QC listings'!$A$5:$A$200,$M14,'QC listings'!$C$5:$C$200,R$4)&gt;0,"?","–")))</f>
        <v/>
      </c>
      <c r="S14" s="12" t="str">
        <f aca="false">IF($M14="","",COUNTIF(O14:R14,"Y"))</f>
        <v/>
      </c>
      <c r="T14" s="23" t="str">
        <f aca="false">IF($M14="","",SUMPRODUCT(MAX(('QC listings'!$A$5:$A$200=$M14)*'QC listings'!$E$5:$E$200)))</f>
        <v/>
      </c>
      <c r="U14" s="12" t="str">
        <f aca="false">IF($M14="","",IF(T14&gt;=Scoring!$B$11,3,IF(T14&gt;=Scoring!$B$10,2,IF(T14&gt;=Scoring!$B$9,1,0))))</f>
        <v/>
      </c>
      <c r="V14" s="12" t="n">
        <f aca="false">IFERROR(INDEX(Scoring!$B$27:$B$56,MATCH($E14,Scoring!$A$27:$A$56,0)),0)</f>
        <v>1</v>
      </c>
      <c r="W14" s="24" t="n">
        <f aca="false">IF($G14="","",ROUND((Scoring!$B$5-$G14)/30.4375,1))</f>
        <v>20.1</v>
      </c>
      <c r="X14" s="12" t="n">
        <f aca="false">IF($F14="Expired",Scoring!$B$18,IF($G14="",Scoring!$B$17,IF(W14&lt;=Scoring!$B$12,Scoring!$B$13,IF(W14&lt;=Scoring!$B$14,Scoring!$B$15,Scoring!$B$16))))</f>
        <v>1</v>
      </c>
      <c r="Y14" s="15" t="str">
        <f aca="false">IF($M14="","",ROUND((S14*Scoring!$B$6+U14*Scoring!$B$7)*IFERROR(INDEX(Scoring!$B$22:$B$24,MATCH($N14,Scoring!$A$22:$A$24,0)),1)+V14*Scoring!$B$8+X14,2))</f>
        <v/>
      </c>
      <c r="Z14" s="12" t="str">
        <f aca="false">IF($M14="","",IF(SUMPRODUCT(($M$5:$M$249=$M14)*($G$5:$G$249&gt;$G14))&gt;0,0,IF(SUMPRODUCT(($M$5:$M$249=$M14)*($G$5:$G$249=$G14)*(ROW($M$5:$M$249)&lt;ROW($M14)))&gt;0,0,1)))</f>
        <v/>
      </c>
      <c r="AA14" s="12" t="str">
        <f aca="false">IF($Z14=1,RANK($AE14,$AE$5:$AE$249,0),"")</f>
        <v/>
      </c>
      <c r="AB14" s="7" t="s">
        <v>153</v>
      </c>
      <c r="AC14" s="6" t="s">
        <v>154</v>
      </c>
      <c r="AD14" s="6" t="s">
        <v>212</v>
      </c>
      <c r="AE14" s="25" t="str">
        <f aca="false">IF($Z14=1,$Y14+$T14/1000000000-ROW()/10000000,"")</f>
        <v/>
      </c>
    </row>
    <row r="15" customFormat="false" ht="23.85" hidden="false" customHeight="false" outlineLevel="0" collapsed="false">
      <c r="A15" s="7" t="s">
        <v>213</v>
      </c>
      <c r="B15" s="6" t="s">
        <v>214</v>
      </c>
      <c r="C15" s="6" t="s">
        <v>215</v>
      </c>
      <c r="D15" s="7" t="s">
        <v>145</v>
      </c>
      <c r="E15" s="7" t="s">
        <v>200</v>
      </c>
      <c r="F15" s="12" t="s">
        <v>158</v>
      </c>
      <c r="G15" s="13" t="n">
        <v>45764</v>
      </c>
      <c r="H15" s="7" t="s">
        <v>216</v>
      </c>
      <c r="I15" s="6" t="s">
        <v>149</v>
      </c>
      <c r="J15" s="7" t="s">
        <v>60</v>
      </c>
      <c r="K15" s="12"/>
      <c r="L15" s="10" t="s">
        <v>217</v>
      </c>
      <c r="M15" s="7" t="s">
        <v>218</v>
      </c>
      <c r="N15" s="12" t="s">
        <v>152</v>
      </c>
      <c r="O15" s="12" t="str">
        <f aca="false">IF($M15="","",IF(COUNTIFS('QC listings'!$A$5:$A$200,$M15,'QC listings'!$C$5:$C$200,O$4,'QC listings'!$F$5:$F$200,"Listing page")+COUNTIFS('QC listings'!$A$5:$A$200,$M15,'QC listings'!$C$5:$C$200,O$4,'QC listings'!$F$5:$F$200,"Brand page")&gt;0,"Y",IF(COUNTIFS('QC listings'!$A$5:$A$200,$M15,'QC listings'!$C$5:$C$200,O$4)&gt;0,"?","–")))</f>
        <v>Y</v>
      </c>
      <c r="P15" s="12" t="str">
        <f aca="false">IF($M15="","",IF(COUNTIFS('QC listings'!$A$5:$A$200,$M15,'QC listings'!$C$5:$C$200,P$4,'QC listings'!$F$5:$F$200,"Listing page")+COUNTIFS('QC listings'!$A$5:$A$200,$M15,'QC listings'!$C$5:$C$200,P$4,'QC listings'!$F$5:$F$200,"Brand page")&gt;0,"Y",IF(COUNTIFS('QC listings'!$A$5:$A$200,$M15,'QC listings'!$C$5:$C$200,P$4)&gt;0,"?","–")))</f>
        <v>Y</v>
      </c>
      <c r="Q15" s="12" t="str">
        <f aca="false">IF($M15="","",IF(COUNTIFS('QC listings'!$A$5:$A$200,$M15,'QC listings'!$C$5:$C$200,Q$4,'QC listings'!$F$5:$F$200,"Listing page")+COUNTIFS('QC listings'!$A$5:$A$200,$M15,'QC listings'!$C$5:$C$200,Q$4,'QC listings'!$F$5:$F$200,"Brand page")&gt;0,"Y",IF(COUNTIFS('QC listings'!$A$5:$A$200,$M15,'QC listings'!$C$5:$C$200,Q$4)&gt;0,"?","–")))</f>
        <v>Y</v>
      </c>
      <c r="R15" s="12" t="str">
        <f aca="false">IF($M15="","",IF(COUNTIFS('QC listings'!$A$5:$A$200,$M15,'QC listings'!$C$5:$C$200,R$4,'QC listings'!$F$5:$F$200,"Listing page")+COUNTIFS('QC listings'!$A$5:$A$200,$M15,'QC listings'!$C$5:$C$200,R$4,'QC listings'!$F$5:$F$200,"Brand page")&gt;0,"Y",IF(COUNTIFS('QC listings'!$A$5:$A$200,$M15,'QC listings'!$C$5:$C$200,R$4)&gt;0,"?","–")))</f>
        <v>Y</v>
      </c>
      <c r="S15" s="12" t="n">
        <f aca="false">IF($M15="","",COUNTIF(O15:R15,"Y"))</f>
        <v>4</v>
      </c>
      <c r="T15" s="23" t="n">
        <f aca="false">IF($M15="","",SUMPRODUCT(MAX(('QC listings'!$A$5:$A$200=$M15)*'QC listings'!$E$5:$E$200)))</f>
        <v>38843</v>
      </c>
      <c r="U15" s="12" t="n">
        <f aca="false">IF($M15="","",IF(T15&gt;=Scoring!$B$11,3,IF(T15&gt;=Scoring!$B$10,2,IF(T15&gt;=Scoring!$B$9,1,0))))</f>
        <v>2</v>
      </c>
      <c r="V15" s="12" t="n">
        <f aca="false">IFERROR(INDEX(Scoring!$B$27:$B$56,MATCH($E15,Scoring!$A$27:$A$56,0)),0)</f>
        <v>1</v>
      </c>
      <c r="W15" s="24" t="n">
        <f aca="false">IF($G15="","",ROUND((Scoring!$B$5-$G15)/30.4375,1))</f>
        <v>17.5</v>
      </c>
      <c r="X15" s="12" t="n">
        <f aca="false">IF($F15="Expired",Scoring!$B$18,IF($G15="",Scoring!$B$17,IF(W15&lt;=Scoring!$B$12,Scoring!$B$13,IF(W15&lt;=Scoring!$B$14,Scoring!$B$15,Scoring!$B$16))))</f>
        <v>1</v>
      </c>
      <c r="Y15" s="15" t="n">
        <f aca="false">IF($M15="","",ROUND((S15*Scoring!$B$6+U15*Scoring!$B$7)*IFERROR(INDEX(Scoring!$B$22:$B$24,MATCH($N15,Scoring!$A$22:$A$24,0)),1)+V15*Scoring!$B$8+X15,2))</f>
        <v>11</v>
      </c>
      <c r="Z15" s="12" t="n">
        <f aca="false">IF($M15="","",IF(SUMPRODUCT(($M$5:$M$249=$M15)*($G$5:$G$249&gt;$G15))&gt;0,0,IF(SUMPRODUCT(($M$5:$M$249=$M15)*($G$5:$G$249=$G15)*(ROW($M$5:$M$249)&lt;ROW($M15)))&gt;0,0,1)))</f>
        <v>1</v>
      </c>
      <c r="AA15" s="12" t="n">
        <f aca="false">IF($Z15=1,RANK($AE15,$AE$5:$AE$249,0),"")</f>
        <v>7</v>
      </c>
      <c r="AB15" s="7" t="s">
        <v>153</v>
      </c>
      <c r="AC15" s="6" t="s">
        <v>162</v>
      </c>
      <c r="AD15" s="6"/>
      <c r="AE15" s="25" t="n">
        <f aca="false">IF($Z15=1,$Y15+$T15/1000000000-ROW()/10000000,"")</f>
        <v>11.000037343</v>
      </c>
    </row>
    <row r="16" customFormat="false" ht="23.85" hidden="false" customHeight="false" outlineLevel="0" collapsed="false">
      <c r="A16" s="7" t="s">
        <v>219</v>
      </c>
      <c r="B16" s="6" t="s">
        <v>220</v>
      </c>
      <c r="C16" s="6" t="s">
        <v>221</v>
      </c>
      <c r="D16" s="7" t="s">
        <v>145</v>
      </c>
      <c r="E16" s="7" t="s">
        <v>200</v>
      </c>
      <c r="F16" s="12" t="s">
        <v>222</v>
      </c>
      <c r="G16" s="13"/>
      <c r="H16" s="7"/>
      <c r="I16" s="6" t="s">
        <v>202</v>
      </c>
      <c r="J16" s="7" t="s">
        <v>203</v>
      </c>
      <c r="K16" s="12" t="s">
        <v>223</v>
      </c>
      <c r="L16" s="10" t="s">
        <v>224</v>
      </c>
      <c r="M16" s="7"/>
      <c r="N16" s="12"/>
      <c r="O16" s="12" t="str">
        <f aca="false">IF($M16="","",IF(COUNTIFS('QC listings'!$A$5:$A$200,$M16,'QC listings'!$C$5:$C$200,O$4,'QC listings'!$F$5:$F$200,"Listing page")+COUNTIFS('QC listings'!$A$5:$A$200,$M16,'QC listings'!$C$5:$C$200,O$4,'QC listings'!$F$5:$F$200,"Brand page")&gt;0,"Y",IF(COUNTIFS('QC listings'!$A$5:$A$200,$M16,'QC listings'!$C$5:$C$200,O$4)&gt;0,"?","–")))</f>
        <v/>
      </c>
      <c r="P16" s="12" t="str">
        <f aca="false">IF($M16="","",IF(COUNTIFS('QC listings'!$A$5:$A$200,$M16,'QC listings'!$C$5:$C$200,P$4,'QC listings'!$F$5:$F$200,"Listing page")+COUNTIFS('QC listings'!$A$5:$A$200,$M16,'QC listings'!$C$5:$C$200,P$4,'QC listings'!$F$5:$F$200,"Brand page")&gt;0,"Y",IF(COUNTIFS('QC listings'!$A$5:$A$200,$M16,'QC listings'!$C$5:$C$200,P$4)&gt;0,"?","–")))</f>
        <v/>
      </c>
      <c r="Q16" s="12" t="str">
        <f aca="false">IF($M16="","",IF(COUNTIFS('QC listings'!$A$5:$A$200,$M16,'QC listings'!$C$5:$C$200,Q$4,'QC listings'!$F$5:$F$200,"Listing page")+COUNTIFS('QC listings'!$A$5:$A$200,$M16,'QC listings'!$C$5:$C$200,Q$4,'QC listings'!$F$5:$F$200,"Brand page")&gt;0,"Y",IF(COUNTIFS('QC listings'!$A$5:$A$200,$M16,'QC listings'!$C$5:$C$200,Q$4)&gt;0,"?","–")))</f>
        <v/>
      </c>
      <c r="R16" s="12" t="str">
        <f aca="false">IF($M16="","",IF(COUNTIFS('QC listings'!$A$5:$A$200,$M16,'QC listings'!$C$5:$C$200,R$4,'QC listings'!$F$5:$F$200,"Listing page")+COUNTIFS('QC listings'!$A$5:$A$200,$M16,'QC listings'!$C$5:$C$200,R$4,'QC listings'!$F$5:$F$200,"Brand page")&gt;0,"Y",IF(COUNTIFS('QC listings'!$A$5:$A$200,$M16,'QC listings'!$C$5:$C$200,R$4)&gt;0,"?","–")))</f>
        <v/>
      </c>
      <c r="S16" s="12" t="str">
        <f aca="false">IF($M16="","",COUNTIF(O16:R16,"Y"))</f>
        <v/>
      </c>
      <c r="T16" s="23" t="str">
        <f aca="false">IF($M16="","",SUMPRODUCT(MAX(('QC listings'!$A$5:$A$200=$M16)*'QC listings'!$E$5:$E$200)))</f>
        <v/>
      </c>
      <c r="U16" s="12" t="str">
        <f aca="false">IF($M16="","",IF(T16&gt;=Scoring!$B$11,3,IF(T16&gt;=Scoring!$B$10,2,IF(T16&gt;=Scoring!$B$9,1,0))))</f>
        <v/>
      </c>
      <c r="V16" s="12" t="n">
        <f aca="false">IFERROR(INDEX(Scoring!$B$27:$B$56,MATCH($E16,Scoring!$A$27:$A$56,0)),0)</f>
        <v>1</v>
      </c>
      <c r="W16" s="24" t="str">
        <f aca="false">IF($G16="","",ROUND((Scoring!$B$5-$G16)/30.4375,1))</f>
        <v/>
      </c>
      <c r="X16" s="12" t="n">
        <f aca="false">IF($F16="Expired",Scoring!$B$18,IF($G16="",Scoring!$B$17,IF(W16&lt;=Scoring!$B$12,Scoring!$B$13,IF(W16&lt;=Scoring!$B$14,Scoring!$B$15,Scoring!$B$16))))</f>
        <v>1</v>
      </c>
      <c r="Y16" s="15" t="str">
        <f aca="false">IF($M16="","",ROUND((S16*Scoring!$B$6+U16*Scoring!$B$7)*IFERROR(INDEX(Scoring!$B$22:$B$24,MATCH($N16,Scoring!$A$22:$A$24,0)),1)+V16*Scoring!$B$8+X16,2))</f>
        <v/>
      </c>
      <c r="Z16" s="12" t="str">
        <f aca="false">IF($M16="","",IF(SUMPRODUCT(($M$5:$M$249=$M16)*($G$5:$G$249&gt;$G16))&gt;0,0,IF(SUMPRODUCT(($M$5:$M$249=$M16)*($G$5:$G$249=$G16)*(ROW($M$5:$M$249)&lt;ROW($M16)))&gt;0,0,1)))</f>
        <v/>
      </c>
      <c r="AA16" s="12" t="str">
        <f aca="false">IF($Z16=1,RANK($AE16,$AE$5:$AE$249,0),"")</f>
        <v/>
      </c>
      <c r="AB16" s="7" t="s">
        <v>205</v>
      </c>
      <c r="AC16" s="6" t="s">
        <v>206</v>
      </c>
      <c r="AD16" s="6" t="s">
        <v>225</v>
      </c>
      <c r="AE16" s="25" t="str">
        <f aca="false">IF($Z16=1,$Y16+$T16/1000000000-ROW()/10000000,"")</f>
        <v/>
      </c>
    </row>
    <row r="17" customFormat="false" ht="23.85" hidden="false" customHeight="false" outlineLevel="0" collapsed="false">
      <c r="A17" s="7" t="s">
        <v>226</v>
      </c>
      <c r="B17" s="6" t="s">
        <v>227</v>
      </c>
      <c r="C17" s="6" t="s">
        <v>228</v>
      </c>
      <c r="D17" s="7" t="s">
        <v>145</v>
      </c>
      <c r="E17" s="7" t="s">
        <v>200</v>
      </c>
      <c r="F17" s="12" t="s">
        <v>222</v>
      </c>
      <c r="G17" s="13"/>
      <c r="H17" s="7"/>
      <c r="I17" s="6" t="s">
        <v>202</v>
      </c>
      <c r="J17" s="7" t="s">
        <v>203</v>
      </c>
      <c r="K17" s="12" t="s">
        <v>229</v>
      </c>
      <c r="L17" s="10" t="s">
        <v>230</v>
      </c>
      <c r="M17" s="7"/>
      <c r="N17" s="12"/>
      <c r="O17" s="12" t="str">
        <f aca="false">IF($M17="","",IF(COUNTIFS('QC listings'!$A$5:$A$200,$M17,'QC listings'!$C$5:$C$200,O$4,'QC listings'!$F$5:$F$200,"Listing page")+COUNTIFS('QC listings'!$A$5:$A$200,$M17,'QC listings'!$C$5:$C$200,O$4,'QC listings'!$F$5:$F$200,"Brand page")&gt;0,"Y",IF(COUNTIFS('QC listings'!$A$5:$A$200,$M17,'QC listings'!$C$5:$C$200,O$4)&gt;0,"?","–")))</f>
        <v/>
      </c>
      <c r="P17" s="12" t="str">
        <f aca="false">IF($M17="","",IF(COUNTIFS('QC listings'!$A$5:$A$200,$M17,'QC listings'!$C$5:$C$200,P$4,'QC listings'!$F$5:$F$200,"Listing page")+COUNTIFS('QC listings'!$A$5:$A$200,$M17,'QC listings'!$C$5:$C$200,P$4,'QC listings'!$F$5:$F$200,"Brand page")&gt;0,"Y",IF(COUNTIFS('QC listings'!$A$5:$A$200,$M17,'QC listings'!$C$5:$C$200,P$4)&gt;0,"?","–")))</f>
        <v/>
      </c>
      <c r="Q17" s="12" t="str">
        <f aca="false">IF($M17="","",IF(COUNTIFS('QC listings'!$A$5:$A$200,$M17,'QC listings'!$C$5:$C$200,Q$4,'QC listings'!$F$5:$F$200,"Listing page")+COUNTIFS('QC listings'!$A$5:$A$200,$M17,'QC listings'!$C$5:$C$200,Q$4,'QC listings'!$F$5:$F$200,"Brand page")&gt;0,"Y",IF(COUNTIFS('QC listings'!$A$5:$A$200,$M17,'QC listings'!$C$5:$C$200,Q$4)&gt;0,"?","–")))</f>
        <v/>
      </c>
      <c r="R17" s="12" t="str">
        <f aca="false">IF($M17="","",IF(COUNTIFS('QC listings'!$A$5:$A$200,$M17,'QC listings'!$C$5:$C$200,R$4,'QC listings'!$F$5:$F$200,"Listing page")+COUNTIFS('QC listings'!$A$5:$A$200,$M17,'QC listings'!$C$5:$C$200,R$4,'QC listings'!$F$5:$F$200,"Brand page")&gt;0,"Y",IF(COUNTIFS('QC listings'!$A$5:$A$200,$M17,'QC listings'!$C$5:$C$200,R$4)&gt;0,"?","–")))</f>
        <v/>
      </c>
      <c r="S17" s="12" t="str">
        <f aca="false">IF($M17="","",COUNTIF(O17:R17,"Y"))</f>
        <v/>
      </c>
      <c r="T17" s="23" t="str">
        <f aca="false">IF($M17="","",SUMPRODUCT(MAX(('QC listings'!$A$5:$A$200=$M17)*'QC listings'!$E$5:$E$200)))</f>
        <v/>
      </c>
      <c r="U17" s="12" t="str">
        <f aca="false">IF($M17="","",IF(T17&gt;=Scoring!$B$11,3,IF(T17&gt;=Scoring!$B$10,2,IF(T17&gt;=Scoring!$B$9,1,0))))</f>
        <v/>
      </c>
      <c r="V17" s="12" t="n">
        <f aca="false">IFERROR(INDEX(Scoring!$B$27:$B$56,MATCH($E17,Scoring!$A$27:$A$56,0)),0)</f>
        <v>1</v>
      </c>
      <c r="W17" s="24" t="str">
        <f aca="false">IF($G17="","",ROUND((Scoring!$B$5-$G17)/30.4375,1))</f>
        <v/>
      </c>
      <c r="X17" s="12" t="n">
        <f aca="false">IF($F17="Expired",Scoring!$B$18,IF($G17="",Scoring!$B$17,IF(W17&lt;=Scoring!$B$12,Scoring!$B$13,IF(W17&lt;=Scoring!$B$14,Scoring!$B$15,Scoring!$B$16))))</f>
        <v>1</v>
      </c>
      <c r="Y17" s="15" t="str">
        <f aca="false">IF($M17="","",ROUND((S17*Scoring!$B$6+U17*Scoring!$B$7)*IFERROR(INDEX(Scoring!$B$22:$B$24,MATCH($N17,Scoring!$A$22:$A$24,0)),1)+V17*Scoring!$B$8+X17,2))</f>
        <v/>
      </c>
      <c r="Z17" s="12" t="str">
        <f aca="false">IF($M17="","",IF(SUMPRODUCT(($M$5:$M$249=$M17)*($G$5:$G$249&gt;$G17))&gt;0,0,IF(SUMPRODUCT(($M$5:$M$249=$M17)*($G$5:$G$249=$G17)*(ROW($M$5:$M$249)&lt;ROW($M17)))&gt;0,0,1)))</f>
        <v/>
      </c>
      <c r="AA17" s="12" t="str">
        <f aca="false">IF($Z17=1,RANK($AE17,$AE$5:$AE$249,0),"")</f>
        <v/>
      </c>
      <c r="AB17" s="7" t="s">
        <v>205</v>
      </c>
      <c r="AC17" s="6" t="s">
        <v>206</v>
      </c>
      <c r="AD17" s="6"/>
      <c r="AE17" s="25" t="str">
        <f aca="false">IF($Z17=1,$Y17+$T17/1000000000-ROW()/10000000,"")</f>
        <v/>
      </c>
    </row>
    <row r="18" customFormat="false" ht="23.85" hidden="false" customHeight="false" outlineLevel="0" collapsed="false">
      <c r="A18" s="7" t="s">
        <v>231</v>
      </c>
      <c r="B18" s="6" t="s">
        <v>232</v>
      </c>
      <c r="C18" s="6" t="s">
        <v>233</v>
      </c>
      <c r="D18" s="7" t="s">
        <v>145</v>
      </c>
      <c r="E18" s="7" t="s">
        <v>200</v>
      </c>
      <c r="F18" s="12" t="s">
        <v>201</v>
      </c>
      <c r="G18" s="13"/>
      <c r="H18" s="7"/>
      <c r="I18" s="6" t="s">
        <v>202</v>
      </c>
      <c r="J18" s="7" t="s">
        <v>203</v>
      </c>
      <c r="K18" s="12"/>
      <c r="L18" s="10" t="s">
        <v>234</v>
      </c>
      <c r="M18" s="7"/>
      <c r="N18" s="12"/>
      <c r="O18" s="12" t="str">
        <f aca="false">IF($M18="","",IF(COUNTIFS('QC listings'!$A$5:$A$200,$M18,'QC listings'!$C$5:$C$200,O$4,'QC listings'!$F$5:$F$200,"Listing page")+COUNTIFS('QC listings'!$A$5:$A$200,$M18,'QC listings'!$C$5:$C$200,O$4,'QC listings'!$F$5:$F$200,"Brand page")&gt;0,"Y",IF(COUNTIFS('QC listings'!$A$5:$A$200,$M18,'QC listings'!$C$5:$C$200,O$4)&gt;0,"?","–")))</f>
        <v/>
      </c>
      <c r="P18" s="12" t="str">
        <f aca="false">IF($M18="","",IF(COUNTIFS('QC listings'!$A$5:$A$200,$M18,'QC listings'!$C$5:$C$200,P$4,'QC listings'!$F$5:$F$200,"Listing page")+COUNTIFS('QC listings'!$A$5:$A$200,$M18,'QC listings'!$C$5:$C$200,P$4,'QC listings'!$F$5:$F$200,"Brand page")&gt;0,"Y",IF(COUNTIFS('QC listings'!$A$5:$A$200,$M18,'QC listings'!$C$5:$C$200,P$4)&gt;0,"?","–")))</f>
        <v/>
      </c>
      <c r="Q18" s="12" t="str">
        <f aca="false">IF($M18="","",IF(COUNTIFS('QC listings'!$A$5:$A$200,$M18,'QC listings'!$C$5:$C$200,Q$4,'QC listings'!$F$5:$F$200,"Listing page")+COUNTIFS('QC listings'!$A$5:$A$200,$M18,'QC listings'!$C$5:$C$200,Q$4,'QC listings'!$F$5:$F$200,"Brand page")&gt;0,"Y",IF(COUNTIFS('QC listings'!$A$5:$A$200,$M18,'QC listings'!$C$5:$C$200,Q$4)&gt;0,"?","–")))</f>
        <v/>
      </c>
      <c r="R18" s="12" t="str">
        <f aca="false">IF($M18="","",IF(COUNTIFS('QC listings'!$A$5:$A$200,$M18,'QC listings'!$C$5:$C$200,R$4,'QC listings'!$F$5:$F$200,"Listing page")+COUNTIFS('QC listings'!$A$5:$A$200,$M18,'QC listings'!$C$5:$C$200,R$4,'QC listings'!$F$5:$F$200,"Brand page")&gt;0,"Y",IF(COUNTIFS('QC listings'!$A$5:$A$200,$M18,'QC listings'!$C$5:$C$200,R$4)&gt;0,"?","–")))</f>
        <v/>
      </c>
      <c r="S18" s="12" t="str">
        <f aca="false">IF($M18="","",COUNTIF(O18:R18,"Y"))</f>
        <v/>
      </c>
      <c r="T18" s="23" t="str">
        <f aca="false">IF($M18="","",SUMPRODUCT(MAX(('QC listings'!$A$5:$A$200=$M18)*'QC listings'!$E$5:$E$200)))</f>
        <v/>
      </c>
      <c r="U18" s="12" t="str">
        <f aca="false">IF($M18="","",IF(T18&gt;=Scoring!$B$11,3,IF(T18&gt;=Scoring!$B$10,2,IF(T18&gt;=Scoring!$B$9,1,0))))</f>
        <v/>
      </c>
      <c r="V18" s="12" t="n">
        <f aca="false">IFERROR(INDEX(Scoring!$B$27:$B$56,MATCH($E18,Scoring!$A$27:$A$56,0)),0)</f>
        <v>1</v>
      </c>
      <c r="W18" s="24" t="str">
        <f aca="false">IF($G18="","",ROUND((Scoring!$B$5-$G18)/30.4375,1))</f>
        <v/>
      </c>
      <c r="X18" s="12" t="n">
        <f aca="false">IF($F18="Expired",Scoring!$B$18,IF($G18="",Scoring!$B$17,IF(W18&lt;=Scoring!$B$12,Scoring!$B$13,IF(W18&lt;=Scoring!$B$14,Scoring!$B$15,Scoring!$B$16))))</f>
        <v>1</v>
      </c>
      <c r="Y18" s="15" t="str">
        <f aca="false">IF($M18="","",ROUND((S18*Scoring!$B$6+U18*Scoring!$B$7)*IFERROR(INDEX(Scoring!$B$22:$B$24,MATCH($N18,Scoring!$A$22:$A$24,0)),1)+V18*Scoring!$B$8+X18,2))</f>
        <v/>
      </c>
      <c r="Z18" s="12" t="str">
        <f aca="false">IF($M18="","",IF(SUMPRODUCT(($M$5:$M$249=$M18)*($G$5:$G$249&gt;$G18))&gt;0,0,IF(SUMPRODUCT(($M$5:$M$249=$M18)*($G$5:$G$249=$G18)*(ROW($M$5:$M$249)&lt;ROW($M18)))&gt;0,0,1)))</f>
        <v/>
      </c>
      <c r="AA18" s="12" t="str">
        <f aca="false">IF($Z18=1,RANK($AE18,$AE$5:$AE$249,0),"")</f>
        <v/>
      </c>
      <c r="AB18" s="7" t="s">
        <v>205</v>
      </c>
      <c r="AC18" s="6" t="s">
        <v>206</v>
      </c>
      <c r="AD18" s="6"/>
      <c r="AE18" s="25" t="str">
        <f aca="false">IF($Z18=1,$Y18+$T18/1000000000-ROW()/10000000,"")</f>
        <v/>
      </c>
    </row>
    <row r="19" customFormat="false" ht="23.85" hidden="false" customHeight="false" outlineLevel="0" collapsed="false">
      <c r="A19" s="7" t="s">
        <v>235</v>
      </c>
      <c r="B19" s="6" t="s">
        <v>236</v>
      </c>
      <c r="C19" s="6" t="s">
        <v>237</v>
      </c>
      <c r="D19" s="7" t="s">
        <v>145</v>
      </c>
      <c r="E19" s="7" t="s">
        <v>200</v>
      </c>
      <c r="F19" s="12" t="s">
        <v>222</v>
      </c>
      <c r="G19" s="13"/>
      <c r="H19" s="7"/>
      <c r="I19" s="6" t="s">
        <v>202</v>
      </c>
      <c r="J19" s="7" t="s">
        <v>203</v>
      </c>
      <c r="K19" s="12" t="s">
        <v>238</v>
      </c>
      <c r="L19" s="10" t="s">
        <v>239</v>
      </c>
      <c r="M19" s="7"/>
      <c r="N19" s="12"/>
      <c r="O19" s="12" t="str">
        <f aca="false">IF($M19="","",IF(COUNTIFS('QC listings'!$A$5:$A$200,$M19,'QC listings'!$C$5:$C$200,O$4,'QC listings'!$F$5:$F$200,"Listing page")+COUNTIFS('QC listings'!$A$5:$A$200,$M19,'QC listings'!$C$5:$C$200,O$4,'QC listings'!$F$5:$F$200,"Brand page")&gt;0,"Y",IF(COUNTIFS('QC listings'!$A$5:$A$200,$M19,'QC listings'!$C$5:$C$200,O$4)&gt;0,"?","–")))</f>
        <v/>
      </c>
      <c r="P19" s="12" t="str">
        <f aca="false">IF($M19="","",IF(COUNTIFS('QC listings'!$A$5:$A$200,$M19,'QC listings'!$C$5:$C$200,P$4,'QC listings'!$F$5:$F$200,"Listing page")+COUNTIFS('QC listings'!$A$5:$A$200,$M19,'QC listings'!$C$5:$C$200,P$4,'QC listings'!$F$5:$F$200,"Brand page")&gt;0,"Y",IF(COUNTIFS('QC listings'!$A$5:$A$200,$M19,'QC listings'!$C$5:$C$200,P$4)&gt;0,"?","–")))</f>
        <v/>
      </c>
      <c r="Q19" s="12" t="str">
        <f aca="false">IF($M19="","",IF(COUNTIFS('QC listings'!$A$5:$A$200,$M19,'QC listings'!$C$5:$C$200,Q$4,'QC listings'!$F$5:$F$200,"Listing page")+COUNTIFS('QC listings'!$A$5:$A$200,$M19,'QC listings'!$C$5:$C$200,Q$4,'QC listings'!$F$5:$F$200,"Brand page")&gt;0,"Y",IF(COUNTIFS('QC listings'!$A$5:$A$200,$M19,'QC listings'!$C$5:$C$200,Q$4)&gt;0,"?","–")))</f>
        <v/>
      </c>
      <c r="R19" s="12" t="str">
        <f aca="false">IF($M19="","",IF(COUNTIFS('QC listings'!$A$5:$A$200,$M19,'QC listings'!$C$5:$C$200,R$4,'QC listings'!$F$5:$F$200,"Listing page")+COUNTIFS('QC listings'!$A$5:$A$200,$M19,'QC listings'!$C$5:$C$200,R$4,'QC listings'!$F$5:$F$200,"Brand page")&gt;0,"Y",IF(COUNTIFS('QC listings'!$A$5:$A$200,$M19,'QC listings'!$C$5:$C$200,R$4)&gt;0,"?","–")))</f>
        <v/>
      </c>
      <c r="S19" s="12" t="str">
        <f aca="false">IF($M19="","",COUNTIF(O19:R19,"Y"))</f>
        <v/>
      </c>
      <c r="T19" s="23" t="str">
        <f aca="false">IF($M19="","",SUMPRODUCT(MAX(('QC listings'!$A$5:$A$200=$M19)*'QC listings'!$E$5:$E$200)))</f>
        <v/>
      </c>
      <c r="U19" s="12" t="str">
        <f aca="false">IF($M19="","",IF(T19&gt;=Scoring!$B$11,3,IF(T19&gt;=Scoring!$B$10,2,IF(T19&gt;=Scoring!$B$9,1,0))))</f>
        <v/>
      </c>
      <c r="V19" s="12" t="n">
        <f aca="false">IFERROR(INDEX(Scoring!$B$27:$B$56,MATCH($E19,Scoring!$A$27:$A$56,0)),0)</f>
        <v>1</v>
      </c>
      <c r="W19" s="24" t="str">
        <f aca="false">IF($G19="","",ROUND((Scoring!$B$5-$G19)/30.4375,1))</f>
        <v/>
      </c>
      <c r="X19" s="12" t="n">
        <f aca="false">IF($F19="Expired",Scoring!$B$18,IF($G19="",Scoring!$B$17,IF(W19&lt;=Scoring!$B$12,Scoring!$B$13,IF(W19&lt;=Scoring!$B$14,Scoring!$B$15,Scoring!$B$16))))</f>
        <v>1</v>
      </c>
      <c r="Y19" s="15" t="str">
        <f aca="false">IF($M19="","",ROUND((S19*Scoring!$B$6+U19*Scoring!$B$7)*IFERROR(INDEX(Scoring!$B$22:$B$24,MATCH($N19,Scoring!$A$22:$A$24,0)),1)+V19*Scoring!$B$8+X19,2))</f>
        <v/>
      </c>
      <c r="Z19" s="12" t="str">
        <f aca="false">IF($M19="","",IF(SUMPRODUCT(($M$5:$M$249=$M19)*($G$5:$G$249&gt;$G19))&gt;0,0,IF(SUMPRODUCT(($M$5:$M$249=$M19)*($G$5:$G$249=$G19)*(ROW($M$5:$M$249)&lt;ROW($M19)))&gt;0,0,1)))</f>
        <v/>
      </c>
      <c r="AA19" s="12" t="str">
        <f aca="false">IF($Z19=1,RANK($AE19,$AE$5:$AE$249,0),"")</f>
        <v/>
      </c>
      <c r="AB19" s="7" t="s">
        <v>205</v>
      </c>
      <c r="AC19" s="6" t="s">
        <v>206</v>
      </c>
      <c r="AD19" s="6"/>
      <c r="AE19" s="25" t="str">
        <f aca="false">IF($Z19=1,$Y19+$T19/1000000000-ROW()/10000000,"")</f>
        <v/>
      </c>
    </row>
    <row r="20" customFormat="false" ht="23.85" hidden="false" customHeight="false" outlineLevel="0" collapsed="false">
      <c r="A20" s="7" t="s">
        <v>240</v>
      </c>
      <c r="B20" s="6" t="s">
        <v>241</v>
      </c>
      <c r="C20" s="6" t="s">
        <v>242</v>
      </c>
      <c r="D20" s="7" t="s">
        <v>145</v>
      </c>
      <c r="E20" s="7" t="s">
        <v>200</v>
      </c>
      <c r="F20" s="12" t="s">
        <v>222</v>
      </c>
      <c r="G20" s="13"/>
      <c r="H20" s="7"/>
      <c r="I20" s="6" t="s">
        <v>202</v>
      </c>
      <c r="J20" s="7" t="s">
        <v>203</v>
      </c>
      <c r="K20" s="12" t="s">
        <v>243</v>
      </c>
      <c r="L20" s="10" t="s">
        <v>244</v>
      </c>
      <c r="M20" s="7"/>
      <c r="N20" s="12"/>
      <c r="O20" s="12" t="str">
        <f aca="false">IF($M20="","",IF(COUNTIFS('QC listings'!$A$5:$A$200,$M20,'QC listings'!$C$5:$C$200,O$4,'QC listings'!$F$5:$F$200,"Listing page")+COUNTIFS('QC listings'!$A$5:$A$200,$M20,'QC listings'!$C$5:$C$200,O$4,'QC listings'!$F$5:$F$200,"Brand page")&gt;0,"Y",IF(COUNTIFS('QC listings'!$A$5:$A$200,$M20,'QC listings'!$C$5:$C$200,O$4)&gt;0,"?","–")))</f>
        <v/>
      </c>
      <c r="P20" s="12" t="str">
        <f aca="false">IF($M20="","",IF(COUNTIFS('QC listings'!$A$5:$A$200,$M20,'QC listings'!$C$5:$C$200,P$4,'QC listings'!$F$5:$F$200,"Listing page")+COUNTIFS('QC listings'!$A$5:$A$200,$M20,'QC listings'!$C$5:$C$200,P$4,'QC listings'!$F$5:$F$200,"Brand page")&gt;0,"Y",IF(COUNTIFS('QC listings'!$A$5:$A$200,$M20,'QC listings'!$C$5:$C$200,P$4)&gt;0,"?","–")))</f>
        <v/>
      </c>
      <c r="Q20" s="12" t="str">
        <f aca="false">IF($M20="","",IF(COUNTIFS('QC listings'!$A$5:$A$200,$M20,'QC listings'!$C$5:$C$200,Q$4,'QC listings'!$F$5:$F$200,"Listing page")+COUNTIFS('QC listings'!$A$5:$A$200,$M20,'QC listings'!$C$5:$C$200,Q$4,'QC listings'!$F$5:$F$200,"Brand page")&gt;0,"Y",IF(COUNTIFS('QC listings'!$A$5:$A$200,$M20,'QC listings'!$C$5:$C$200,Q$4)&gt;0,"?","–")))</f>
        <v/>
      </c>
      <c r="R20" s="12" t="str">
        <f aca="false">IF($M20="","",IF(COUNTIFS('QC listings'!$A$5:$A$200,$M20,'QC listings'!$C$5:$C$200,R$4,'QC listings'!$F$5:$F$200,"Listing page")+COUNTIFS('QC listings'!$A$5:$A$200,$M20,'QC listings'!$C$5:$C$200,R$4,'QC listings'!$F$5:$F$200,"Brand page")&gt;0,"Y",IF(COUNTIFS('QC listings'!$A$5:$A$200,$M20,'QC listings'!$C$5:$C$200,R$4)&gt;0,"?","–")))</f>
        <v/>
      </c>
      <c r="S20" s="12" t="str">
        <f aca="false">IF($M20="","",COUNTIF(O20:R20,"Y"))</f>
        <v/>
      </c>
      <c r="T20" s="23" t="str">
        <f aca="false">IF($M20="","",SUMPRODUCT(MAX(('QC listings'!$A$5:$A$200=$M20)*'QC listings'!$E$5:$E$200)))</f>
        <v/>
      </c>
      <c r="U20" s="12" t="str">
        <f aca="false">IF($M20="","",IF(T20&gt;=Scoring!$B$11,3,IF(T20&gt;=Scoring!$B$10,2,IF(T20&gt;=Scoring!$B$9,1,0))))</f>
        <v/>
      </c>
      <c r="V20" s="12" t="n">
        <f aca="false">IFERROR(INDEX(Scoring!$B$27:$B$56,MATCH($E20,Scoring!$A$27:$A$56,0)),0)</f>
        <v>1</v>
      </c>
      <c r="W20" s="24" t="str">
        <f aca="false">IF($G20="","",ROUND((Scoring!$B$5-$G20)/30.4375,1))</f>
        <v/>
      </c>
      <c r="X20" s="12" t="n">
        <f aca="false">IF($F20="Expired",Scoring!$B$18,IF($G20="",Scoring!$B$17,IF(W20&lt;=Scoring!$B$12,Scoring!$B$13,IF(W20&lt;=Scoring!$B$14,Scoring!$B$15,Scoring!$B$16))))</f>
        <v>1</v>
      </c>
      <c r="Y20" s="15" t="str">
        <f aca="false">IF($M20="","",ROUND((S20*Scoring!$B$6+U20*Scoring!$B$7)*IFERROR(INDEX(Scoring!$B$22:$B$24,MATCH($N20,Scoring!$A$22:$A$24,0)),1)+V20*Scoring!$B$8+X20,2))</f>
        <v/>
      </c>
      <c r="Z20" s="12" t="str">
        <f aca="false">IF($M20="","",IF(SUMPRODUCT(($M$5:$M$249=$M20)*($G$5:$G$249&gt;$G20))&gt;0,0,IF(SUMPRODUCT(($M$5:$M$249=$M20)*($G$5:$G$249=$G20)*(ROW($M$5:$M$249)&lt;ROW($M20)))&gt;0,0,1)))</f>
        <v/>
      </c>
      <c r="AA20" s="12" t="str">
        <f aca="false">IF($Z20=1,RANK($AE20,$AE$5:$AE$249,0),"")</f>
        <v/>
      </c>
      <c r="AB20" s="7" t="s">
        <v>205</v>
      </c>
      <c r="AC20" s="6" t="s">
        <v>206</v>
      </c>
      <c r="AD20" s="6"/>
      <c r="AE20" s="25" t="str">
        <f aca="false">IF($Z20=1,$Y20+$T20/1000000000-ROW()/10000000,"")</f>
        <v/>
      </c>
    </row>
    <row r="21" customFormat="false" ht="23.85" hidden="false" customHeight="false" outlineLevel="0" collapsed="false">
      <c r="A21" s="7" t="s">
        <v>245</v>
      </c>
      <c r="B21" s="6" t="s">
        <v>246</v>
      </c>
      <c r="C21" s="6" t="s">
        <v>247</v>
      </c>
      <c r="D21" s="7" t="s">
        <v>145</v>
      </c>
      <c r="E21" s="7" t="s">
        <v>200</v>
      </c>
      <c r="F21" s="12" t="s">
        <v>222</v>
      </c>
      <c r="G21" s="13"/>
      <c r="H21" s="7"/>
      <c r="I21" s="6" t="s">
        <v>202</v>
      </c>
      <c r="J21" s="7" t="s">
        <v>203</v>
      </c>
      <c r="K21" s="12" t="s">
        <v>248</v>
      </c>
      <c r="L21" s="10" t="s">
        <v>249</v>
      </c>
      <c r="M21" s="7"/>
      <c r="N21" s="12"/>
      <c r="O21" s="12" t="str">
        <f aca="false">IF($M21="","",IF(COUNTIFS('QC listings'!$A$5:$A$200,$M21,'QC listings'!$C$5:$C$200,O$4,'QC listings'!$F$5:$F$200,"Listing page")+COUNTIFS('QC listings'!$A$5:$A$200,$M21,'QC listings'!$C$5:$C$200,O$4,'QC listings'!$F$5:$F$200,"Brand page")&gt;0,"Y",IF(COUNTIFS('QC listings'!$A$5:$A$200,$M21,'QC listings'!$C$5:$C$200,O$4)&gt;0,"?","–")))</f>
        <v/>
      </c>
      <c r="P21" s="12" t="str">
        <f aca="false">IF($M21="","",IF(COUNTIFS('QC listings'!$A$5:$A$200,$M21,'QC listings'!$C$5:$C$200,P$4,'QC listings'!$F$5:$F$200,"Listing page")+COUNTIFS('QC listings'!$A$5:$A$200,$M21,'QC listings'!$C$5:$C$200,P$4,'QC listings'!$F$5:$F$200,"Brand page")&gt;0,"Y",IF(COUNTIFS('QC listings'!$A$5:$A$200,$M21,'QC listings'!$C$5:$C$200,P$4)&gt;0,"?","–")))</f>
        <v/>
      </c>
      <c r="Q21" s="12" t="str">
        <f aca="false">IF($M21="","",IF(COUNTIFS('QC listings'!$A$5:$A$200,$M21,'QC listings'!$C$5:$C$200,Q$4,'QC listings'!$F$5:$F$200,"Listing page")+COUNTIFS('QC listings'!$A$5:$A$200,$M21,'QC listings'!$C$5:$C$200,Q$4,'QC listings'!$F$5:$F$200,"Brand page")&gt;0,"Y",IF(COUNTIFS('QC listings'!$A$5:$A$200,$M21,'QC listings'!$C$5:$C$200,Q$4)&gt;0,"?","–")))</f>
        <v/>
      </c>
      <c r="R21" s="12" t="str">
        <f aca="false">IF($M21="","",IF(COUNTIFS('QC listings'!$A$5:$A$200,$M21,'QC listings'!$C$5:$C$200,R$4,'QC listings'!$F$5:$F$200,"Listing page")+COUNTIFS('QC listings'!$A$5:$A$200,$M21,'QC listings'!$C$5:$C$200,R$4,'QC listings'!$F$5:$F$200,"Brand page")&gt;0,"Y",IF(COUNTIFS('QC listings'!$A$5:$A$200,$M21,'QC listings'!$C$5:$C$200,R$4)&gt;0,"?","–")))</f>
        <v/>
      </c>
      <c r="S21" s="12" t="str">
        <f aca="false">IF($M21="","",COUNTIF(O21:R21,"Y"))</f>
        <v/>
      </c>
      <c r="T21" s="23" t="str">
        <f aca="false">IF($M21="","",SUMPRODUCT(MAX(('QC listings'!$A$5:$A$200=$M21)*'QC listings'!$E$5:$E$200)))</f>
        <v/>
      </c>
      <c r="U21" s="12" t="str">
        <f aca="false">IF($M21="","",IF(T21&gt;=Scoring!$B$11,3,IF(T21&gt;=Scoring!$B$10,2,IF(T21&gt;=Scoring!$B$9,1,0))))</f>
        <v/>
      </c>
      <c r="V21" s="12" t="n">
        <f aca="false">IFERROR(INDEX(Scoring!$B$27:$B$56,MATCH($E21,Scoring!$A$27:$A$56,0)),0)</f>
        <v>1</v>
      </c>
      <c r="W21" s="24" t="str">
        <f aca="false">IF($G21="","",ROUND((Scoring!$B$5-$G21)/30.4375,1))</f>
        <v/>
      </c>
      <c r="X21" s="12" t="n">
        <f aca="false">IF($F21="Expired",Scoring!$B$18,IF($G21="",Scoring!$B$17,IF(W21&lt;=Scoring!$B$12,Scoring!$B$13,IF(W21&lt;=Scoring!$B$14,Scoring!$B$15,Scoring!$B$16))))</f>
        <v>1</v>
      </c>
      <c r="Y21" s="15" t="str">
        <f aca="false">IF($M21="","",ROUND((S21*Scoring!$B$6+U21*Scoring!$B$7)*IFERROR(INDEX(Scoring!$B$22:$B$24,MATCH($N21,Scoring!$A$22:$A$24,0)),1)+V21*Scoring!$B$8+X21,2))</f>
        <v/>
      </c>
      <c r="Z21" s="12" t="str">
        <f aca="false">IF($M21="","",IF(SUMPRODUCT(($M$5:$M$249=$M21)*($G$5:$G$249&gt;$G21))&gt;0,0,IF(SUMPRODUCT(($M$5:$M$249=$M21)*($G$5:$G$249=$G21)*(ROW($M$5:$M$249)&lt;ROW($M21)))&gt;0,0,1)))</f>
        <v/>
      </c>
      <c r="AA21" s="12" t="str">
        <f aca="false">IF($Z21=1,RANK($AE21,$AE$5:$AE$249,0),"")</f>
        <v/>
      </c>
      <c r="AB21" s="7" t="s">
        <v>205</v>
      </c>
      <c r="AC21" s="6" t="s">
        <v>206</v>
      </c>
      <c r="AD21" s="6"/>
      <c r="AE21" s="25" t="str">
        <f aca="false">IF($Z21=1,$Y21+$T21/1000000000-ROW()/10000000,"")</f>
        <v/>
      </c>
    </row>
    <row r="22" customFormat="false" ht="23.85" hidden="false" customHeight="false" outlineLevel="0" collapsed="false">
      <c r="A22" s="7" t="s">
        <v>250</v>
      </c>
      <c r="B22" s="6" t="s">
        <v>251</v>
      </c>
      <c r="C22" s="6" t="s">
        <v>252</v>
      </c>
      <c r="D22" s="7" t="s">
        <v>145</v>
      </c>
      <c r="E22" s="7" t="s">
        <v>253</v>
      </c>
      <c r="F22" s="12" t="s">
        <v>147</v>
      </c>
      <c r="G22" s="13" t="n">
        <v>45674</v>
      </c>
      <c r="H22" s="7" t="s">
        <v>254</v>
      </c>
      <c r="I22" s="6" t="s">
        <v>149</v>
      </c>
      <c r="J22" s="7" t="s">
        <v>60</v>
      </c>
      <c r="K22" s="12"/>
      <c r="L22" s="10" t="s">
        <v>255</v>
      </c>
      <c r="M22" s="7"/>
      <c r="N22" s="12"/>
      <c r="O22" s="12" t="str">
        <f aca="false">IF($M22="","",IF(COUNTIFS('QC listings'!$A$5:$A$200,$M22,'QC listings'!$C$5:$C$200,O$4,'QC listings'!$F$5:$F$200,"Listing page")+COUNTIFS('QC listings'!$A$5:$A$200,$M22,'QC listings'!$C$5:$C$200,O$4,'QC listings'!$F$5:$F$200,"Brand page")&gt;0,"Y",IF(COUNTIFS('QC listings'!$A$5:$A$200,$M22,'QC listings'!$C$5:$C$200,O$4)&gt;0,"?","–")))</f>
        <v/>
      </c>
      <c r="P22" s="12" t="str">
        <f aca="false">IF($M22="","",IF(COUNTIFS('QC listings'!$A$5:$A$200,$M22,'QC listings'!$C$5:$C$200,P$4,'QC listings'!$F$5:$F$200,"Listing page")+COUNTIFS('QC listings'!$A$5:$A$200,$M22,'QC listings'!$C$5:$C$200,P$4,'QC listings'!$F$5:$F$200,"Brand page")&gt;0,"Y",IF(COUNTIFS('QC listings'!$A$5:$A$200,$M22,'QC listings'!$C$5:$C$200,P$4)&gt;0,"?","–")))</f>
        <v/>
      </c>
      <c r="Q22" s="12" t="str">
        <f aca="false">IF($M22="","",IF(COUNTIFS('QC listings'!$A$5:$A$200,$M22,'QC listings'!$C$5:$C$200,Q$4,'QC listings'!$F$5:$F$200,"Listing page")+COUNTIFS('QC listings'!$A$5:$A$200,$M22,'QC listings'!$C$5:$C$200,Q$4,'QC listings'!$F$5:$F$200,"Brand page")&gt;0,"Y",IF(COUNTIFS('QC listings'!$A$5:$A$200,$M22,'QC listings'!$C$5:$C$200,Q$4)&gt;0,"?","–")))</f>
        <v/>
      </c>
      <c r="R22" s="12" t="str">
        <f aca="false">IF($M22="","",IF(COUNTIFS('QC listings'!$A$5:$A$200,$M22,'QC listings'!$C$5:$C$200,R$4,'QC listings'!$F$5:$F$200,"Listing page")+COUNTIFS('QC listings'!$A$5:$A$200,$M22,'QC listings'!$C$5:$C$200,R$4,'QC listings'!$F$5:$F$200,"Brand page")&gt;0,"Y",IF(COUNTIFS('QC listings'!$A$5:$A$200,$M22,'QC listings'!$C$5:$C$200,R$4)&gt;0,"?","–")))</f>
        <v/>
      </c>
      <c r="S22" s="12" t="str">
        <f aca="false">IF($M22="","",COUNTIF(O22:R22,"Y"))</f>
        <v/>
      </c>
      <c r="T22" s="23" t="str">
        <f aca="false">IF($M22="","",SUMPRODUCT(MAX(('QC listings'!$A$5:$A$200=$M22)*'QC listings'!$E$5:$E$200)))</f>
        <v/>
      </c>
      <c r="U22" s="12" t="str">
        <f aca="false">IF($M22="","",IF(T22&gt;=Scoring!$B$11,3,IF(T22&gt;=Scoring!$B$10,2,IF(T22&gt;=Scoring!$B$9,1,0))))</f>
        <v/>
      </c>
      <c r="V22" s="12" t="n">
        <f aca="false">IFERROR(INDEX(Scoring!$B$27:$B$56,MATCH($E22,Scoring!$A$27:$A$56,0)),0)</f>
        <v>1</v>
      </c>
      <c r="W22" s="24" t="n">
        <f aca="false">IF($G22="","",ROUND((Scoring!$B$5-$G22)/30.4375,1))</f>
        <v>20.5</v>
      </c>
      <c r="X22" s="12" t="n">
        <f aca="false">IF($F22="Expired",Scoring!$B$18,IF($G22="",Scoring!$B$17,IF(W22&lt;=Scoring!$B$12,Scoring!$B$13,IF(W22&lt;=Scoring!$B$14,Scoring!$B$15,Scoring!$B$16))))</f>
        <v>1</v>
      </c>
      <c r="Y22" s="15" t="str">
        <f aca="false">IF($M22="","",ROUND((S22*Scoring!$B$6+U22*Scoring!$B$7)*IFERROR(INDEX(Scoring!$B$22:$B$24,MATCH($N22,Scoring!$A$22:$A$24,0)),1)+V22*Scoring!$B$8+X22,2))</f>
        <v/>
      </c>
      <c r="Z22" s="12" t="str">
        <f aca="false">IF($M22="","",IF(SUMPRODUCT(($M$5:$M$249=$M22)*($G$5:$G$249&gt;$G22))&gt;0,0,IF(SUMPRODUCT(($M$5:$M$249=$M22)*($G$5:$G$249=$G22)*(ROW($M$5:$M$249)&lt;ROW($M22)))&gt;0,0,1)))</f>
        <v/>
      </c>
      <c r="AA22" s="12" t="str">
        <f aca="false">IF($Z22=1,RANK($AE22,$AE$5:$AE$249,0),"")</f>
        <v/>
      </c>
      <c r="AB22" s="7" t="s">
        <v>153</v>
      </c>
      <c r="AC22" s="6" t="s">
        <v>154</v>
      </c>
      <c r="AD22" s="6" t="s">
        <v>212</v>
      </c>
      <c r="AE22" s="25" t="str">
        <f aca="false">IF($Z22=1,$Y22+$T22/1000000000-ROW()/10000000,"")</f>
        <v/>
      </c>
    </row>
    <row r="23" customFormat="false" ht="23.85" hidden="false" customHeight="false" outlineLevel="0" collapsed="false">
      <c r="A23" s="7" t="s">
        <v>256</v>
      </c>
      <c r="B23" s="6" t="s">
        <v>257</v>
      </c>
      <c r="C23" s="6" t="s">
        <v>258</v>
      </c>
      <c r="D23" s="7" t="s">
        <v>145</v>
      </c>
      <c r="E23" s="7" t="s">
        <v>253</v>
      </c>
      <c r="F23" s="12" t="s">
        <v>147</v>
      </c>
      <c r="G23" s="13" t="n">
        <v>45674</v>
      </c>
      <c r="H23" s="7" t="s">
        <v>259</v>
      </c>
      <c r="I23" s="6" t="s">
        <v>149</v>
      </c>
      <c r="J23" s="7" t="s">
        <v>60</v>
      </c>
      <c r="K23" s="12"/>
      <c r="L23" s="10" t="s">
        <v>260</v>
      </c>
      <c r="M23" s="7"/>
      <c r="N23" s="12"/>
      <c r="O23" s="12" t="str">
        <f aca="false">IF($M23="","",IF(COUNTIFS('QC listings'!$A$5:$A$200,$M23,'QC listings'!$C$5:$C$200,O$4,'QC listings'!$F$5:$F$200,"Listing page")+COUNTIFS('QC listings'!$A$5:$A$200,$M23,'QC listings'!$C$5:$C$200,O$4,'QC listings'!$F$5:$F$200,"Brand page")&gt;0,"Y",IF(COUNTIFS('QC listings'!$A$5:$A$200,$M23,'QC listings'!$C$5:$C$200,O$4)&gt;0,"?","–")))</f>
        <v/>
      </c>
      <c r="P23" s="12" t="str">
        <f aca="false">IF($M23="","",IF(COUNTIFS('QC listings'!$A$5:$A$200,$M23,'QC listings'!$C$5:$C$200,P$4,'QC listings'!$F$5:$F$200,"Listing page")+COUNTIFS('QC listings'!$A$5:$A$200,$M23,'QC listings'!$C$5:$C$200,P$4,'QC listings'!$F$5:$F$200,"Brand page")&gt;0,"Y",IF(COUNTIFS('QC listings'!$A$5:$A$200,$M23,'QC listings'!$C$5:$C$200,P$4)&gt;0,"?","–")))</f>
        <v/>
      </c>
      <c r="Q23" s="12" t="str">
        <f aca="false">IF($M23="","",IF(COUNTIFS('QC listings'!$A$5:$A$200,$M23,'QC listings'!$C$5:$C$200,Q$4,'QC listings'!$F$5:$F$200,"Listing page")+COUNTIFS('QC listings'!$A$5:$A$200,$M23,'QC listings'!$C$5:$C$200,Q$4,'QC listings'!$F$5:$F$200,"Brand page")&gt;0,"Y",IF(COUNTIFS('QC listings'!$A$5:$A$200,$M23,'QC listings'!$C$5:$C$200,Q$4)&gt;0,"?","–")))</f>
        <v/>
      </c>
      <c r="R23" s="12" t="str">
        <f aca="false">IF($M23="","",IF(COUNTIFS('QC listings'!$A$5:$A$200,$M23,'QC listings'!$C$5:$C$200,R$4,'QC listings'!$F$5:$F$200,"Listing page")+COUNTIFS('QC listings'!$A$5:$A$200,$M23,'QC listings'!$C$5:$C$200,R$4,'QC listings'!$F$5:$F$200,"Brand page")&gt;0,"Y",IF(COUNTIFS('QC listings'!$A$5:$A$200,$M23,'QC listings'!$C$5:$C$200,R$4)&gt;0,"?","–")))</f>
        <v/>
      </c>
      <c r="S23" s="12" t="str">
        <f aca="false">IF($M23="","",COUNTIF(O23:R23,"Y"))</f>
        <v/>
      </c>
      <c r="T23" s="23" t="str">
        <f aca="false">IF($M23="","",SUMPRODUCT(MAX(('QC listings'!$A$5:$A$200=$M23)*'QC listings'!$E$5:$E$200)))</f>
        <v/>
      </c>
      <c r="U23" s="12" t="str">
        <f aca="false">IF($M23="","",IF(T23&gt;=Scoring!$B$11,3,IF(T23&gt;=Scoring!$B$10,2,IF(T23&gt;=Scoring!$B$9,1,0))))</f>
        <v/>
      </c>
      <c r="V23" s="12" t="n">
        <f aca="false">IFERROR(INDEX(Scoring!$B$27:$B$56,MATCH($E23,Scoring!$A$27:$A$56,0)),0)</f>
        <v>1</v>
      </c>
      <c r="W23" s="24" t="n">
        <f aca="false">IF($G23="","",ROUND((Scoring!$B$5-$G23)/30.4375,1))</f>
        <v>20.5</v>
      </c>
      <c r="X23" s="12" t="n">
        <f aca="false">IF($F23="Expired",Scoring!$B$18,IF($G23="",Scoring!$B$17,IF(W23&lt;=Scoring!$B$12,Scoring!$B$13,IF(W23&lt;=Scoring!$B$14,Scoring!$B$15,Scoring!$B$16))))</f>
        <v>1</v>
      </c>
      <c r="Y23" s="15" t="str">
        <f aca="false">IF($M23="","",ROUND((S23*Scoring!$B$6+U23*Scoring!$B$7)*IFERROR(INDEX(Scoring!$B$22:$B$24,MATCH($N23,Scoring!$A$22:$A$24,0)),1)+V23*Scoring!$B$8+X23,2))</f>
        <v/>
      </c>
      <c r="Z23" s="12" t="str">
        <f aca="false">IF($M23="","",IF(SUMPRODUCT(($M$5:$M$249=$M23)*($G$5:$G$249&gt;$G23))&gt;0,0,IF(SUMPRODUCT(($M$5:$M$249=$M23)*($G$5:$G$249=$G23)*(ROW($M$5:$M$249)&lt;ROW($M23)))&gt;0,0,1)))</f>
        <v/>
      </c>
      <c r="AA23" s="12" t="str">
        <f aca="false">IF($Z23=1,RANK($AE23,$AE$5:$AE$249,0),"")</f>
        <v/>
      </c>
      <c r="AB23" s="7" t="s">
        <v>153</v>
      </c>
      <c r="AC23" s="6" t="s">
        <v>154</v>
      </c>
      <c r="AD23" s="6" t="s">
        <v>212</v>
      </c>
      <c r="AE23" s="25" t="str">
        <f aca="false">IF($Z23=1,$Y23+$T23/1000000000-ROW()/10000000,"")</f>
        <v/>
      </c>
    </row>
    <row r="24" customFormat="false" ht="23.85" hidden="false" customHeight="false" outlineLevel="0" collapsed="false">
      <c r="A24" s="7" t="s">
        <v>261</v>
      </c>
      <c r="B24" s="6" t="s">
        <v>143</v>
      </c>
      <c r="C24" s="6" t="s">
        <v>262</v>
      </c>
      <c r="D24" s="7" t="s">
        <v>145</v>
      </c>
      <c r="E24" s="7" t="s">
        <v>263</v>
      </c>
      <c r="F24" s="12" t="s">
        <v>158</v>
      </c>
      <c r="G24" s="13" t="n">
        <v>45746</v>
      </c>
      <c r="H24" s="7" t="s">
        <v>264</v>
      </c>
      <c r="I24" s="6" t="s">
        <v>149</v>
      </c>
      <c r="J24" s="7" t="s">
        <v>60</v>
      </c>
      <c r="K24" s="12"/>
      <c r="L24" s="10" t="s">
        <v>265</v>
      </c>
      <c r="M24" s="7" t="s">
        <v>266</v>
      </c>
      <c r="N24" s="12" t="s">
        <v>152</v>
      </c>
      <c r="O24" s="12" t="str">
        <f aca="false">IF($M24="","",IF(COUNTIFS('QC listings'!$A$5:$A$200,$M24,'QC listings'!$C$5:$C$200,O$4,'QC listings'!$F$5:$F$200,"Listing page")+COUNTIFS('QC listings'!$A$5:$A$200,$M24,'QC listings'!$C$5:$C$200,O$4,'QC listings'!$F$5:$F$200,"Brand page")&gt;0,"Y",IF(COUNTIFS('QC listings'!$A$5:$A$200,$M24,'QC listings'!$C$5:$C$200,O$4)&gt;0,"?","–")))</f>
        <v>Y</v>
      </c>
      <c r="P24" s="12" t="str">
        <f aca="false">IF($M24="","",IF(COUNTIFS('QC listings'!$A$5:$A$200,$M24,'QC listings'!$C$5:$C$200,P$4,'QC listings'!$F$5:$F$200,"Listing page")+COUNTIFS('QC listings'!$A$5:$A$200,$M24,'QC listings'!$C$5:$C$200,P$4,'QC listings'!$F$5:$F$200,"Brand page")&gt;0,"Y",IF(COUNTIFS('QC listings'!$A$5:$A$200,$M24,'QC listings'!$C$5:$C$200,P$4)&gt;0,"?","–")))</f>
        <v>Y</v>
      </c>
      <c r="Q24" s="12" t="str">
        <f aca="false">IF($M24="","",IF(COUNTIFS('QC listings'!$A$5:$A$200,$M24,'QC listings'!$C$5:$C$200,Q$4,'QC listings'!$F$5:$F$200,"Listing page")+COUNTIFS('QC listings'!$A$5:$A$200,$M24,'QC listings'!$C$5:$C$200,Q$4,'QC listings'!$F$5:$F$200,"Brand page")&gt;0,"Y",IF(COUNTIFS('QC listings'!$A$5:$A$200,$M24,'QC listings'!$C$5:$C$200,Q$4)&gt;0,"?","–")))</f>
        <v>?</v>
      </c>
      <c r="R24" s="12" t="str">
        <f aca="false">IF($M24="","",IF(COUNTIFS('QC listings'!$A$5:$A$200,$M24,'QC listings'!$C$5:$C$200,R$4,'QC listings'!$F$5:$F$200,"Listing page")+COUNTIFS('QC listings'!$A$5:$A$200,$M24,'QC listings'!$C$5:$C$200,R$4,'QC listings'!$F$5:$F$200,"Brand page")&gt;0,"Y",IF(COUNTIFS('QC listings'!$A$5:$A$200,$M24,'QC listings'!$C$5:$C$200,R$4)&gt;0,"?","–")))</f>
        <v>–</v>
      </c>
      <c r="S24" s="12" t="n">
        <f aca="false">IF($M24="","",COUNTIF(O24:R24,"Y"))</f>
        <v>2</v>
      </c>
      <c r="T24" s="23" t="n">
        <f aca="false">IF($M24="","",SUMPRODUCT(MAX(('QC listings'!$A$5:$A$200=$M24)*'QC listings'!$E$5:$E$200)))</f>
        <v>144000</v>
      </c>
      <c r="U24" s="12" t="n">
        <f aca="false">IF($M24="","",IF(T24&gt;=Scoring!$B$11,3,IF(T24&gt;=Scoring!$B$10,2,IF(T24&gt;=Scoring!$B$9,1,0))))</f>
        <v>3</v>
      </c>
      <c r="V24" s="12" t="n">
        <f aca="false">IFERROR(INDEX(Scoring!$B$27:$B$56,MATCH($E24,Scoring!$A$27:$A$56,0)),0)</f>
        <v>0</v>
      </c>
      <c r="W24" s="24" t="n">
        <f aca="false">IF($G24="","",ROUND((Scoring!$B$5-$G24)/30.4375,1))</f>
        <v>18.1</v>
      </c>
      <c r="X24" s="12" t="n">
        <f aca="false">IF($F24="Expired",Scoring!$B$18,IF($G24="",Scoring!$B$17,IF(W24&lt;=Scoring!$B$12,Scoring!$B$13,IF(W24&lt;=Scoring!$B$14,Scoring!$B$15,Scoring!$B$16))))</f>
        <v>1</v>
      </c>
      <c r="Y24" s="15" t="n">
        <f aca="false">IF($M24="","",ROUND((S24*Scoring!$B$6+U24*Scoring!$B$7)*IFERROR(INDEX(Scoring!$B$22:$B$24,MATCH($N24,Scoring!$A$22:$A$24,0)),1)+V24*Scoring!$B$8+X24,2))</f>
        <v>9</v>
      </c>
      <c r="Z24" s="12" t="n">
        <f aca="false">IF($M24="","",IF(SUMPRODUCT(($M$5:$M$249=$M24)*($G$5:$G$249&gt;$G24))&gt;0,0,IF(SUMPRODUCT(($M$5:$M$249=$M24)*($G$5:$G$249=$G24)*(ROW($M$5:$M$249)&lt;ROW($M24)))&gt;0,0,1)))</f>
        <v>1</v>
      </c>
      <c r="AA24" s="12" t="n">
        <f aca="false">IF($Z24=1,RANK($AE24,$AE$5:$AE$249,0),"")</f>
        <v>11</v>
      </c>
      <c r="AB24" s="7" t="s">
        <v>153</v>
      </c>
      <c r="AC24" s="6" t="s">
        <v>162</v>
      </c>
      <c r="AD24" s="6" t="s">
        <v>267</v>
      </c>
      <c r="AE24" s="25" t="n">
        <f aca="false">IF($Z24=1,$Y24+$T24/1000000000-ROW()/10000000,"")</f>
        <v>9.0001416</v>
      </c>
    </row>
    <row r="25" customFormat="false" ht="23.85" hidden="false" customHeight="false" outlineLevel="0" collapsed="false">
      <c r="A25" s="7" t="s">
        <v>268</v>
      </c>
      <c r="B25" s="6" t="s">
        <v>143</v>
      </c>
      <c r="C25" s="6" t="s">
        <v>269</v>
      </c>
      <c r="D25" s="7" t="s">
        <v>145</v>
      </c>
      <c r="E25" s="7" t="s">
        <v>263</v>
      </c>
      <c r="F25" s="12" t="s">
        <v>158</v>
      </c>
      <c r="G25" s="13" t="n">
        <v>45790</v>
      </c>
      <c r="H25" s="7" t="s">
        <v>270</v>
      </c>
      <c r="I25" s="6" t="s">
        <v>149</v>
      </c>
      <c r="J25" s="7" t="s">
        <v>60</v>
      </c>
      <c r="K25" s="12"/>
      <c r="L25" s="10" t="s">
        <v>271</v>
      </c>
      <c r="M25" s="7"/>
      <c r="N25" s="12"/>
      <c r="O25" s="12" t="str">
        <f aca="false">IF($M25="","",IF(COUNTIFS('QC listings'!$A$5:$A$200,$M25,'QC listings'!$C$5:$C$200,O$4,'QC listings'!$F$5:$F$200,"Listing page")+COUNTIFS('QC listings'!$A$5:$A$200,$M25,'QC listings'!$C$5:$C$200,O$4,'QC listings'!$F$5:$F$200,"Brand page")&gt;0,"Y",IF(COUNTIFS('QC listings'!$A$5:$A$200,$M25,'QC listings'!$C$5:$C$200,O$4)&gt;0,"?","–")))</f>
        <v/>
      </c>
      <c r="P25" s="12" t="str">
        <f aca="false">IF($M25="","",IF(COUNTIFS('QC listings'!$A$5:$A$200,$M25,'QC listings'!$C$5:$C$200,P$4,'QC listings'!$F$5:$F$200,"Listing page")+COUNTIFS('QC listings'!$A$5:$A$200,$M25,'QC listings'!$C$5:$C$200,P$4,'QC listings'!$F$5:$F$200,"Brand page")&gt;0,"Y",IF(COUNTIFS('QC listings'!$A$5:$A$200,$M25,'QC listings'!$C$5:$C$200,P$4)&gt;0,"?","–")))</f>
        <v/>
      </c>
      <c r="Q25" s="12" t="str">
        <f aca="false">IF($M25="","",IF(COUNTIFS('QC listings'!$A$5:$A$200,$M25,'QC listings'!$C$5:$C$200,Q$4,'QC listings'!$F$5:$F$200,"Listing page")+COUNTIFS('QC listings'!$A$5:$A$200,$M25,'QC listings'!$C$5:$C$200,Q$4,'QC listings'!$F$5:$F$200,"Brand page")&gt;0,"Y",IF(COUNTIFS('QC listings'!$A$5:$A$200,$M25,'QC listings'!$C$5:$C$200,Q$4)&gt;0,"?","–")))</f>
        <v/>
      </c>
      <c r="R25" s="12" t="str">
        <f aca="false">IF($M25="","",IF(COUNTIFS('QC listings'!$A$5:$A$200,$M25,'QC listings'!$C$5:$C$200,R$4,'QC listings'!$F$5:$F$200,"Listing page")+COUNTIFS('QC listings'!$A$5:$A$200,$M25,'QC listings'!$C$5:$C$200,R$4,'QC listings'!$F$5:$F$200,"Brand page")&gt;0,"Y",IF(COUNTIFS('QC listings'!$A$5:$A$200,$M25,'QC listings'!$C$5:$C$200,R$4)&gt;0,"?","–")))</f>
        <v/>
      </c>
      <c r="S25" s="12" t="str">
        <f aca="false">IF($M25="","",COUNTIF(O25:R25,"Y"))</f>
        <v/>
      </c>
      <c r="T25" s="23" t="str">
        <f aca="false">IF($M25="","",SUMPRODUCT(MAX(('QC listings'!$A$5:$A$200=$M25)*'QC listings'!$E$5:$E$200)))</f>
        <v/>
      </c>
      <c r="U25" s="12" t="str">
        <f aca="false">IF($M25="","",IF(T25&gt;=Scoring!$B$11,3,IF(T25&gt;=Scoring!$B$10,2,IF(T25&gt;=Scoring!$B$9,1,0))))</f>
        <v/>
      </c>
      <c r="V25" s="12" t="n">
        <f aca="false">IFERROR(INDEX(Scoring!$B$27:$B$56,MATCH($E25,Scoring!$A$27:$A$56,0)),0)</f>
        <v>0</v>
      </c>
      <c r="W25" s="24" t="n">
        <f aca="false">IF($G25="","",ROUND((Scoring!$B$5-$G25)/30.4375,1))</f>
        <v>16.7</v>
      </c>
      <c r="X25" s="12" t="n">
        <f aca="false">IF($F25="Expired",Scoring!$B$18,IF($G25="",Scoring!$B$17,IF(W25&lt;=Scoring!$B$12,Scoring!$B$13,IF(W25&lt;=Scoring!$B$14,Scoring!$B$15,Scoring!$B$16))))</f>
        <v>1</v>
      </c>
      <c r="Y25" s="15" t="str">
        <f aca="false">IF($M25="","",ROUND((S25*Scoring!$B$6+U25*Scoring!$B$7)*IFERROR(INDEX(Scoring!$B$22:$B$24,MATCH($N25,Scoring!$A$22:$A$24,0)),1)+V25*Scoring!$B$8+X25,2))</f>
        <v/>
      </c>
      <c r="Z25" s="12" t="str">
        <f aca="false">IF($M25="","",IF(SUMPRODUCT(($M$5:$M$249=$M25)*($G$5:$G$249&gt;$G25))&gt;0,0,IF(SUMPRODUCT(($M$5:$M$249=$M25)*($G$5:$G$249=$G25)*(ROW($M$5:$M$249)&lt;ROW($M25)))&gt;0,0,1)))</f>
        <v/>
      </c>
      <c r="AA25" s="12" t="str">
        <f aca="false">IF($Z25=1,RANK($AE25,$AE$5:$AE$249,0),"")</f>
        <v/>
      </c>
      <c r="AB25" s="7" t="s">
        <v>153</v>
      </c>
      <c r="AC25" s="6" t="s">
        <v>162</v>
      </c>
      <c r="AD25" s="6"/>
      <c r="AE25" s="25" t="str">
        <f aca="false">IF($Z25=1,$Y25+$T25/1000000000-ROW()/10000000,"")</f>
        <v/>
      </c>
    </row>
    <row r="26" customFormat="false" ht="23.85" hidden="false" customHeight="false" outlineLevel="0" collapsed="false">
      <c r="A26" s="7" t="s">
        <v>272</v>
      </c>
      <c r="B26" s="6" t="s">
        <v>143</v>
      </c>
      <c r="C26" s="6" t="s">
        <v>273</v>
      </c>
      <c r="D26" s="7" t="s">
        <v>145</v>
      </c>
      <c r="E26" s="7" t="s">
        <v>263</v>
      </c>
      <c r="F26" s="12" t="s">
        <v>158</v>
      </c>
      <c r="G26" s="13" t="n">
        <v>45713</v>
      </c>
      <c r="H26" s="7" t="s">
        <v>274</v>
      </c>
      <c r="I26" s="6" t="s">
        <v>149</v>
      </c>
      <c r="J26" s="7" t="s">
        <v>60</v>
      </c>
      <c r="K26" s="12"/>
      <c r="L26" s="10" t="s">
        <v>275</v>
      </c>
      <c r="M26" s="7" t="s">
        <v>276</v>
      </c>
      <c r="N26" s="12" t="s">
        <v>277</v>
      </c>
      <c r="O26" s="12" t="str">
        <f aca="false">IF($M26="","",IF(COUNTIFS('QC listings'!$A$5:$A$200,$M26,'QC listings'!$C$5:$C$200,O$4,'QC listings'!$F$5:$F$200,"Listing page")+COUNTIFS('QC listings'!$A$5:$A$200,$M26,'QC listings'!$C$5:$C$200,O$4,'QC listings'!$F$5:$F$200,"Brand page")&gt;0,"Y",IF(COUNTIFS('QC listings'!$A$5:$A$200,$M26,'QC listings'!$C$5:$C$200,O$4)&gt;0,"?","–")))</f>
        <v>Y</v>
      </c>
      <c r="P26" s="12" t="str">
        <f aca="false">IF($M26="","",IF(COUNTIFS('QC listings'!$A$5:$A$200,$M26,'QC listings'!$C$5:$C$200,P$4,'QC listings'!$F$5:$F$200,"Listing page")+COUNTIFS('QC listings'!$A$5:$A$200,$M26,'QC listings'!$C$5:$C$200,P$4,'QC listings'!$F$5:$F$200,"Brand page")&gt;0,"Y",IF(COUNTIFS('QC listings'!$A$5:$A$200,$M26,'QC listings'!$C$5:$C$200,P$4)&gt;0,"?","–")))</f>
        <v>Y</v>
      </c>
      <c r="Q26" s="12" t="str">
        <f aca="false">IF($M26="","",IF(COUNTIFS('QC listings'!$A$5:$A$200,$M26,'QC listings'!$C$5:$C$200,Q$4,'QC listings'!$F$5:$F$200,"Listing page")+COUNTIFS('QC listings'!$A$5:$A$200,$M26,'QC listings'!$C$5:$C$200,Q$4,'QC listings'!$F$5:$F$200,"Brand page")&gt;0,"Y",IF(COUNTIFS('QC listings'!$A$5:$A$200,$M26,'QC listings'!$C$5:$C$200,Q$4)&gt;0,"?","–")))</f>
        <v>–</v>
      </c>
      <c r="R26" s="12" t="str">
        <f aca="false">IF($M26="","",IF(COUNTIFS('QC listings'!$A$5:$A$200,$M26,'QC listings'!$C$5:$C$200,R$4,'QC listings'!$F$5:$F$200,"Listing page")+COUNTIFS('QC listings'!$A$5:$A$200,$M26,'QC listings'!$C$5:$C$200,R$4,'QC listings'!$F$5:$F$200,"Brand page")&gt;0,"Y",IF(COUNTIFS('QC listings'!$A$5:$A$200,$M26,'QC listings'!$C$5:$C$200,R$4)&gt;0,"?","–")))</f>
        <v>Y</v>
      </c>
      <c r="S26" s="12" t="n">
        <f aca="false">IF($M26="","",COUNTIF(O26:R26,"Y"))</f>
        <v>3</v>
      </c>
      <c r="T26" s="23" t="n">
        <f aca="false">IF($M26="","",SUMPRODUCT(MAX(('QC listings'!$A$5:$A$200=$M26)*'QC listings'!$E$5:$E$200)))</f>
        <v>397166</v>
      </c>
      <c r="U26" s="12" t="n">
        <f aca="false">IF($M26="","",IF(T26&gt;=Scoring!$B$11,3,IF(T26&gt;=Scoring!$B$10,2,IF(T26&gt;=Scoring!$B$9,1,0))))</f>
        <v>3</v>
      </c>
      <c r="V26" s="12" t="n">
        <f aca="false">IFERROR(INDEX(Scoring!$B$27:$B$56,MATCH($E26,Scoring!$A$27:$A$56,0)),0)</f>
        <v>0</v>
      </c>
      <c r="W26" s="24" t="n">
        <f aca="false">IF($G26="","",ROUND((Scoring!$B$5-$G26)/30.4375,1))</f>
        <v>19.2</v>
      </c>
      <c r="X26" s="12" t="n">
        <f aca="false">IF($F26="Expired",Scoring!$B$18,IF($G26="",Scoring!$B$17,IF(W26&lt;=Scoring!$B$12,Scoring!$B$13,IF(W26&lt;=Scoring!$B$14,Scoring!$B$15,Scoring!$B$16))))</f>
        <v>1</v>
      </c>
      <c r="Y26" s="15" t="n">
        <f aca="false">IF($M26="","",ROUND((S26*Scoring!$B$6+U26*Scoring!$B$7)*IFERROR(INDEX(Scoring!$B$22:$B$24,MATCH($N26,Scoring!$A$22:$A$24,0)),1)+V26*Scoring!$B$8+X26,2))</f>
        <v>7.75</v>
      </c>
      <c r="Z26" s="12" t="n">
        <f aca="false">IF($M26="","",IF(SUMPRODUCT(($M$5:$M$249=$M26)*($G$5:$G$249&gt;$G26))&gt;0,0,IF(SUMPRODUCT(($M$5:$M$249=$M26)*($G$5:$G$249=$G26)*(ROW($M$5:$M$249)&lt;ROW($M26)))&gt;0,0,1)))</f>
        <v>1</v>
      </c>
      <c r="AA26" s="12" t="n">
        <f aca="false">IF($Z26=1,RANK($AE26,$AE$5:$AE$249,0),"")</f>
        <v>16</v>
      </c>
      <c r="AB26" s="7" t="s">
        <v>153</v>
      </c>
      <c r="AC26" s="6" t="s">
        <v>162</v>
      </c>
      <c r="AD26" s="6" t="s">
        <v>155</v>
      </c>
      <c r="AE26" s="25" t="n">
        <f aca="false">IF($Z26=1,$Y26+$T26/1000000000-ROW()/10000000,"")</f>
        <v>7.750394566</v>
      </c>
    </row>
    <row r="27" customFormat="false" ht="23.85" hidden="false" customHeight="false" outlineLevel="0" collapsed="false">
      <c r="A27" s="7" t="s">
        <v>278</v>
      </c>
      <c r="B27" s="6" t="s">
        <v>279</v>
      </c>
      <c r="C27" s="6" t="s">
        <v>280</v>
      </c>
      <c r="D27" s="7" t="s">
        <v>145</v>
      </c>
      <c r="E27" s="7" t="s">
        <v>281</v>
      </c>
      <c r="F27" s="12" t="s">
        <v>201</v>
      </c>
      <c r="G27" s="13"/>
      <c r="H27" s="7"/>
      <c r="I27" s="6" t="s">
        <v>202</v>
      </c>
      <c r="J27" s="7" t="s">
        <v>203</v>
      </c>
      <c r="K27" s="12"/>
      <c r="L27" s="10" t="s">
        <v>282</v>
      </c>
      <c r="M27" s="7" t="s">
        <v>283</v>
      </c>
      <c r="N27" s="12" t="s">
        <v>284</v>
      </c>
      <c r="O27" s="12" t="str">
        <f aca="false">IF($M27="","",IF(COUNTIFS('QC listings'!$A$5:$A$200,$M27,'QC listings'!$C$5:$C$200,O$4,'QC listings'!$F$5:$F$200,"Listing page")+COUNTIFS('QC listings'!$A$5:$A$200,$M27,'QC listings'!$C$5:$C$200,O$4,'QC listings'!$F$5:$F$200,"Brand page")&gt;0,"Y",IF(COUNTIFS('QC listings'!$A$5:$A$200,$M27,'QC listings'!$C$5:$C$200,O$4)&gt;0,"?","–")))</f>
        <v>–</v>
      </c>
      <c r="P27" s="12" t="str">
        <f aca="false">IF($M27="","",IF(COUNTIFS('QC listings'!$A$5:$A$200,$M27,'QC listings'!$C$5:$C$200,P$4,'QC listings'!$F$5:$F$200,"Listing page")+COUNTIFS('QC listings'!$A$5:$A$200,$M27,'QC listings'!$C$5:$C$200,P$4,'QC listings'!$F$5:$F$200,"Brand page")&gt;0,"Y",IF(COUNTIFS('QC listings'!$A$5:$A$200,$M27,'QC listings'!$C$5:$C$200,P$4)&gt;0,"?","–")))</f>
        <v>Y</v>
      </c>
      <c r="Q27" s="12" t="str">
        <f aca="false">IF($M27="","",IF(COUNTIFS('QC listings'!$A$5:$A$200,$M27,'QC listings'!$C$5:$C$200,Q$4,'QC listings'!$F$5:$F$200,"Listing page")+COUNTIFS('QC listings'!$A$5:$A$200,$M27,'QC listings'!$C$5:$C$200,Q$4,'QC listings'!$F$5:$F$200,"Brand page")&gt;0,"Y",IF(COUNTIFS('QC listings'!$A$5:$A$200,$M27,'QC listings'!$C$5:$C$200,Q$4)&gt;0,"?","–")))</f>
        <v>Y</v>
      </c>
      <c r="R27" s="12" t="str">
        <f aca="false">IF($M27="","",IF(COUNTIFS('QC listings'!$A$5:$A$200,$M27,'QC listings'!$C$5:$C$200,R$4,'QC listings'!$F$5:$F$200,"Listing page")+COUNTIFS('QC listings'!$A$5:$A$200,$M27,'QC listings'!$C$5:$C$200,R$4,'QC listings'!$F$5:$F$200,"Brand page")&gt;0,"Y",IF(COUNTIFS('QC listings'!$A$5:$A$200,$M27,'QC listings'!$C$5:$C$200,R$4)&gt;0,"?","–")))</f>
        <v>Y</v>
      </c>
      <c r="S27" s="12" t="n">
        <f aca="false">IF($M27="","",COUNTIF(O27:R27,"Y"))</f>
        <v>3</v>
      </c>
      <c r="T27" s="23" t="n">
        <f aca="false">IF($M27="","",SUMPRODUCT(MAX(('QC listings'!$A$5:$A$200=$M27)*'QC listings'!$E$5:$E$200)))</f>
        <v>5008</v>
      </c>
      <c r="U27" s="12" t="n">
        <f aca="false">IF($M27="","",IF(T27&gt;=Scoring!$B$11,3,IF(T27&gt;=Scoring!$B$10,2,IF(T27&gt;=Scoring!$B$9,1,0))))</f>
        <v>1</v>
      </c>
      <c r="V27" s="12" t="n">
        <f aca="false">IFERROR(INDEX(Scoring!$B$27:$B$56,MATCH($E27,Scoring!$A$27:$A$56,0)),0)</f>
        <v>0</v>
      </c>
      <c r="W27" s="24" t="str">
        <f aca="false">IF($G27="","",ROUND((Scoring!$B$5-$G27)/30.4375,1))</f>
        <v/>
      </c>
      <c r="X27" s="12" t="n">
        <f aca="false">IF($F27="Expired",Scoring!$B$18,IF($G27="",Scoring!$B$17,IF(W27&lt;=Scoring!$B$12,Scoring!$B$13,IF(W27&lt;=Scoring!$B$14,Scoring!$B$15,Scoring!$B$16))))</f>
        <v>1</v>
      </c>
      <c r="Y27" s="15" t="n">
        <f aca="false">IF($M27="","",ROUND((S27*Scoring!$B$6+U27*Scoring!$B$7)*IFERROR(INDEX(Scoring!$B$22:$B$24,MATCH($N27,Scoring!$A$22:$A$24,0)),1)+V27*Scoring!$B$8+X27,2))</f>
        <v>3.5</v>
      </c>
      <c r="Z27" s="12" t="n">
        <f aca="false">IF($M27="","",IF(SUMPRODUCT(($M$5:$M$249=$M27)*($G$5:$G$249&gt;$G27))&gt;0,0,IF(SUMPRODUCT(($M$5:$M$249=$M27)*($G$5:$G$249=$G27)*(ROW($M$5:$M$249)&lt;ROW($M27)))&gt;0,0,1)))</f>
        <v>0</v>
      </c>
      <c r="AA27" s="12" t="str">
        <f aca="false">IF($Z27=1,RANK($AE27,$AE$5:$AE$249,0),"")</f>
        <v/>
      </c>
      <c r="AB27" s="7" t="s">
        <v>205</v>
      </c>
      <c r="AC27" s="6" t="s">
        <v>206</v>
      </c>
      <c r="AD27" s="6" t="s">
        <v>285</v>
      </c>
      <c r="AE27" s="25" t="str">
        <f aca="false">IF($Z27=1,$Y27+$T27/1000000000-ROW()/10000000,"")</f>
        <v/>
      </c>
    </row>
    <row r="28" customFormat="false" ht="23.85" hidden="false" customHeight="false" outlineLevel="0" collapsed="false">
      <c r="A28" s="7" t="s">
        <v>286</v>
      </c>
      <c r="B28" s="6" t="s">
        <v>279</v>
      </c>
      <c r="C28" s="6" t="s">
        <v>287</v>
      </c>
      <c r="D28" s="7" t="s">
        <v>145</v>
      </c>
      <c r="E28" s="7" t="s">
        <v>281</v>
      </c>
      <c r="F28" s="12" t="s">
        <v>147</v>
      </c>
      <c r="G28" s="13" t="n">
        <v>45859</v>
      </c>
      <c r="H28" s="7" t="s">
        <v>288</v>
      </c>
      <c r="I28" s="6" t="s">
        <v>149</v>
      </c>
      <c r="J28" s="7" t="s">
        <v>60</v>
      </c>
      <c r="K28" s="12"/>
      <c r="L28" s="10" t="s">
        <v>289</v>
      </c>
      <c r="M28" s="7" t="s">
        <v>283</v>
      </c>
      <c r="N28" s="12" t="s">
        <v>277</v>
      </c>
      <c r="O28" s="12" t="str">
        <f aca="false">IF($M28="","",IF(COUNTIFS('QC listings'!$A$5:$A$200,$M28,'QC listings'!$C$5:$C$200,O$4,'QC listings'!$F$5:$F$200,"Listing page")+COUNTIFS('QC listings'!$A$5:$A$200,$M28,'QC listings'!$C$5:$C$200,O$4,'QC listings'!$F$5:$F$200,"Brand page")&gt;0,"Y",IF(COUNTIFS('QC listings'!$A$5:$A$200,$M28,'QC listings'!$C$5:$C$200,O$4)&gt;0,"?","–")))</f>
        <v>–</v>
      </c>
      <c r="P28" s="12" t="str">
        <f aca="false">IF($M28="","",IF(COUNTIFS('QC listings'!$A$5:$A$200,$M28,'QC listings'!$C$5:$C$200,P$4,'QC listings'!$F$5:$F$200,"Listing page")+COUNTIFS('QC listings'!$A$5:$A$200,$M28,'QC listings'!$C$5:$C$200,P$4,'QC listings'!$F$5:$F$200,"Brand page")&gt;0,"Y",IF(COUNTIFS('QC listings'!$A$5:$A$200,$M28,'QC listings'!$C$5:$C$200,P$4)&gt;0,"?","–")))</f>
        <v>Y</v>
      </c>
      <c r="Q28" s="12" t="str">
        <f aca="false">IF($M28="","",IF(COUNTIFS('QC listings'!$A$5:$A$200,$M28,'QC listings'!$C$5:$C$200,Q$4,'QC listings'!$F$5:$F$200,"Listing page")+COUNTIFS('QC listings'!$A$5:$A$200,$M28,'QC listings'!$C$5:$C$200,Q$4,'QC listings'!$F$5:$F$200,"Brand page")&gt;0,"Y",IF(COUNTIFS('QC listings'!$A$5:$A$200,$M28,'QC listings'!$C$5:$C$200,Q$4)&gt;0,"?","–")))</f>
        <v>Y</v>
      </c>
      <c r="R28" s="12" t="str">
        <f aca="false">IF($M28="","",IF(COUNTIFS('QC listings'!$A$5:$A$200,$M28,'QC listings'!$C$5:$C$200,R$4,'QC listings'!$F$5:$F$200,"Listing page")+COUNTIFS('QC listings'!$A$5:$A$200,$M28,'QC listings'!$C$5:$C$200,R$4,'QC listings'!$F$5:$F$200,"Brand page")&gt;0,"Y",IF(COUNTIFS('QC listings'!$A$5:$A$200,$M28,'QC listings'!$C$5:$C$200,R$4)&gt;0,"?","–")))</f>
        <v>Y</v>
      </c>
      <c r="S28" s="12" t="n">
        <f aca="false">IF($M28="","",COUNTIF(O28:R28,"Y"))</f>
        <v>3</v>
      </c>
      <c r="T28" s="23" t="n">
        <f aca="false">IF($M28="","",SUMPRODUCT(MAX(('QC listings'!$A$5:$A$200=$M28)*'QC listings'!$E$5:$E$200)))</f>
        <v>5008</v>
      </c>
      <c r="U28" s="12" t="n">
        <f aca="false">IF($M28="","",IF(T28&gt;=Scoring!$B$11,3,IF(T28&gt;=Scoring!$B$10,2,IF(T28&gt;=Scoring!$B$9,1,0))))</f>
        <v>1</v>
      </c>
      <c r="V28" s="12" t="n">
        <f aca="false">IFERROR(INDEX(Scoring!$B$27:$B$56,MATCH($E28,Scoring!$A$27:$A$56,0)),0)</f>
        <v>0</v>
      </c>
      <c r="W28" s="24" t="n">
        <f aca="false">IF($G28="","",ROUND((Scoring!$B$5-$G28)/30.4375,1))</f>
        <v>14.4</v>
      </c>
      <c r="X28" s="12" t="n">
        <f aca="false">IF($F28="Expired",Scoring!$B$18,IF($G28="",Scoring!$B$17,IF(W28&lt;=Scoring!$B$12,Scoring!$B$13,IF(W28&lt;=Scoring!$B$14,Scoring!$B$15,Scoring!$B$16))))</f>
        <v>1</v>
      </c>
      <c r="Y28" s="15" t="n">
        <f aca="false">IF($M28="","",ROUND((S28*Scoring!$B$6+U28*Scoring!$B$7)*IFERROR(INDEX(Scoring!$B$22:$B$24,MATCH($N28,Scoring!$A$22:$A$24,0)),1)+V28*Scoring!$B$8+X28,2))</f>
        <v>4.75</v>
      </c>
      <c r="Z28" s="12" t="n">
        <f aca="false">IF($M28="","",IF(SUMPRODUCT(($M$5:$M$249=$M28)*($G$5:$G$249&gt;$G28))&gt;0,0,IF(SUMPRODUCT(($M$5:$M$249=$M28)*($G$5:$G$249=$G28)*(ROW($M$5:$M$249)&lt;ROW($M28)))&gt;0,0,1)))</f>
        <v>1</v>
      </c>
      <c r="AA28" s="12" t="n">
        <f aca="false">IF($Z28=1,RANK($AE28,$AE$5:$AE$249,0),"")</f>
        <v>24</v>
      </c>
      <c r="AB28" s="7" t="s">
        <v>153</v>
      </c>
      <c r="AC28" s="6" t="s">
        <v>154</v>
      </c>
      <c r="AD28" s="6" t="s">
        <v>285</v>
      </c>
      <c r="AE28" s="25" t="n">
        <f aca="false">IF($Z28=1,$Y28+$T28/1000000000-ROW()/10000000,"")</f>
        <v>4.750002208</v>
      </c>
    </row>
    <row r="29" customFormat="false" ht="23.85" hidden="false" customHeight="false" outlineLevel="0" collapsed="false">
      <c r="A29" s="7" t="s">
        <v>290</v>
      </c>
      <c r="B29" s="6" t="s">
        <v>143</v>
      </c>
      <c r="C29" s="6" t="s">
        <v>291</v>
      </c>
      <c r="D29" s="7" t="s">
        <v>145</v>
      </c>
      <c r="E29" s="7" t="s">
        <v>281</v>
      </c>
      <c r="F29" s="12" t="s">
        <v>147</v>
      </c>
      <c r="G29" s="13" t="n">
        <v>45669</v>
      </c>
      <c r="H29" s="7" t="s">
        <v>292</v>
      </c>
      <c r="I29" s="6" t="s">
        <v>149</v>
      </c>
      <c r="J29" s="7" t="s">
        <v>60</v>
      </c>
      <c r="K29" s="12"/>
      <c r="L29" s="10" t="s">
        <v>293</v>
      </c>
      <c r="M29" s="7" t="s">
        <v>294</v>
      </c>
      <c r="N29" s="12" t="s">
        <v>277</v>
      </c>
      <c r="O29" s="12" t="str">
        <f aca="false">IF($M29="","",IF(COUNTIFS('QC listings'!$A$5:$A$200,$M29,'QC listings'!$C$5:$C$200,O$4,'QC listings'!$F$5:$F$200,"Listing page")+COUNTIFS('QC listings'!$A$5:$A$200,$M29,'QC listings'!$C$5:$C$200,O$4,'QC listings'!$F$5:$F$200,"Brand page")&gt;0,"Y",IF(COUNTIFS('QC listings'!$A$5:$A$200,$M29,'QC listings'!$C$5:$C$200,O$4)&gt;0,"?","–")))</f>
        <v>–</v>
      </c>
      <c r="P29" s="12" t="str">
        <f aca="false">IF($M29="","",IF(COUNTIFS('QC listings'!$A$5:$A$200,$M29,'QC listings'!$C$5:$C$200,P$4,'QC listings'!$F$5:$F$200,"Listing page")+COUNTIFS('QC listings'!$A$5:$A$200,$M29,'QC listings'!$C$5:$C$200,P$4,'QC listings'!$F$5:$F$200,"Brand page")&gt;0,"Y",IF(COUNTIFS('QC listings'!$A$5:$A$200,$M29,'QC listings'!$C$5:$C$200,P$4)&gt;0,"?","–")))</f>
        <v>Y</v>
      </c>
      <c r="Q29" s="12" t="str">
        <f aca="false">IF($M29="","",IF(COUNTIFS('QC listings'!$A$5:$A$200,$M29,'QC listings'!$C$5:$C$200,Q$4,'QC listings'!$F$5:$F$200,"Listing page")+COUNTIFS('QC listings'!$A$5:$A$200,$M29,'QC listings'!$C$5:$C$200,Q$4,'QC listings'!$F$5:$F$200,"Brand page")&gt;0,"Y",IF(COUNTIFS('QC listings'!$A$5:$A$200,$M29,'QC listings'!$C$5:$C$200,Q$4)&gt;0,"?","–")))</f>
        <v>Y</v>
      </c>
      <c r="R29" s="12" t="str">
        <f aca="false">IF($M29="","",IF(COUNTIFS('QC listings'!$A$5:$A$200,$M29,'QC listings'!$C$5:$C$200,R$4,'QC listings'!$F$5:$F$200,"Listing page")+COUNTIFS('QC listings'!$A$5:$A$200,$M29,'QC listings'!$C$5:$C$200,R$4,'QC listings'!$F$5:$F$200,"Brand page")&gt;0,"Y",IF(COUNTIFS('QC listings'!$A$5:$A$200,$M29,'QC listings'!$C$5:$C$200,R$4)&gt;0,"?","–")))</f>
        <v>Y</v>
      </c>
      <c r="S29" s="12" t="n">
        <f aca="false">IF($M29="","",COUNTIF(O29:R29,"Y"))</f>
        <v>3</v>
      </c>
      <c r="T29" s="23" t="n">
        <f aca="false">IF($M29="","",SUMPRODUCT(MAX(('QC listings'!$A$5:$A$200=$M29)*'QC listings'!$E$5:$E$200)))</f>
        <v>0</v>
      </c>
      <c r="U29" s="12" t="n">
        <f aca="false">IF($M29="","",IF(T29&gt;=Scoring!$B$11,3,IF(T29&gt;=Scoring!$B$10,2,IF(T29&gt;=Scoring!$B$9,1,0))))</f>
        <v>0</v>
      </c>
      <c r="V29" s="12" t="n">
        <f aca="false">IFERROR(INDEX(Scoring!$B$27:$B$56,MATCH($E29,Scoring!$A$27:$A$56,0)),0)</f>
        <v>0</v>
      </c>
      <c r="W29" s="24" t="n">
        <f aca="false">IF($G29="","",ROUND((Scoring!$B$5-$G29)/30.4375,1))</f>
        <v>20.6</v>
      </c>
      <c r="X29" s="12" t="n">
        <f aca="false">IF($F29="Expired",Scoring!$B$18,IF($G29="",Scoring!$B$17,IF(W29&lt;=Scoring!$B$12,Scoring!$B$13,IF(W29&lt;=Scoring!$B$14,Scoring!$B$15,Scoring!$B$16))))</f>
        <v>1</v>
      </c>
      <c r="Y29" s="15" t="n">
        <f aca="false">IF($M29="","",ROUND((S29*Scoring!$B$6+U29*Scoring!$B$7)*IFERROR(INDEX(Scoring!$B$22:$B$24,MATCH($N29,Scoring!$A$22:$A$24,0)),1)+V29*Scoring!$B$8+X29,2))</f>
        <v>3.25</v>
      </c>
      <c r="Z29" s="12" t="n">
        <f aca="false">IF($M29="","",IF(SUMPRODUCT(($M$5:$M$249=$M29)*($G$5:$G$249&gt;$G29))&gt;0,0,IF(SUMPRODUCT(($M$5:$M$249=$M29)*($G$5:$G$249=$G29)*(ROW($M$5:$M$249)&lt;ROW($M29)))&gt;0,0,1)))</f>
        <v>1</v>
      </c>
      <c r="AA29" s="12" t="n">
        <f aca="false">IF($Z29=1,RANK($AE29,$AE$5:$AE$249,0),"")</f>
        <v>28</v>
      </c>
      <c r="AB29" s="7" t="s">
        <v>153</v>
      </c>
      <c r="AC29" s="6" t="s">
        <v>154</v>
      </c>
      <c r="AD29" s="6" t="s">
        <v>295</v>
      </c>
      <c r="AE29" s="25" t="n">
        <f aca="false">IF($Z29=1,$Y29+$T29/1000000000-ROW()/10000000,"")</f>
        <v>3.2499971</v>
      </c>
    </row>
    <row r="30" customFormat="false" ht="23.85" hidden="false" customHeight="false" outlineLevel="0" collapsed="false">
      <c r="A30" s="7" t="s">
        <v>296</v>
      </c>
      <c r="B30" s="6" t="s">
        <v>143</v>
      </c>
      <c r="C30" s="6" t="s">
        <v>297</v>
      </c>
      <c r="D30" s="7" t="s">
        <v>145</v>
      </c>
      <c r="E30" s="7" t="s">
        <v>281</v>
      </c>
      <c r="F30" s="12" t="s">
        <v>201</v>
      </c>
      <c r="G30" s="13"/>
      <c r="H30" s="7"/>
      <c r="I30" s="6" t="s">
        <v>202</v>
      </c>
      <c r="J30" s="7" t="s">
        <v>203</v>
      </c>
      <c r="K30" s="12"/>
      <c r="L30" s="10" t="s">
        <v>298</v>
      </c>
      <c r="M30" s="7" t="s">
        <v>294</v>
      </c>
      <c r="N30" s="12" t="s">
        <v>277</v>
      </c>
      <c r="O30" s="12" t="str">
        <f aca="false">IF($M30="","",IF(COUNTIFS('QC listings'!$A$5:$A$200,$M30,'QC listings'!$C$5:$C$200,O$4,'QC listings'!$F$5:$F$200,"Listing page")+COUNTIFS('QC listings'!$A$5:$A$200,$M30,'QC listings'!$C$5:$C$200,O$4,'QC listings'!$F$5:$F$200,"Brand page")&gt;0,"Y",IF(COUNTIFS('QC listings'!$A$5:$A$200,$M30,'QC listings'!$C$5:$C$200,O$4)&gt;0,"?","–")))</f>
        <v>–</v>
      </c>
      <c r="P30" s="12" t="str">
        <f aca="false">IF($M30="","",IF(COUNTIFS('QC listings'!$A$5:$A$200,$M30,'QC listings'!$C$5:$C$200,P$4,'QC listings'!$F$5:$F$200,"Listing page")+COUNTIFS('QC listings'!$A$5:$A$200,$M30,'QC listings'!$C$5:$C$200,P$4,'QC listings'!$F$5:$F$200,"Brand page")&gt;0,"Y",IF(COUNTIFS('QC listings'!$A$5:$A$200,$M30,'QC listings'!$C$5:$C$200,P$4)&gt;0,"?","–")))</f>
        <v>Y</v>
      </c>
      <c r="Q30" s="12" t="str">
        <f aca="false">IF($M30="","",IF(COUNTIFS('QC listings'!$A$5:$A$200,$M30,'QC listings'!$C$5:$C$200,Q$4,'QC listings'!$F$5:$F$200,"Listing page")+COUNTIFS('QC listings'!$A$5:$A$200,$M30,'QC listings'!$C$5:$C$200,Q$4,'QC listings'!$F$5:$F$200,"Brand page")&gt;0,"Y",IF(COUNTIFS('QC listings'!$A$5:$A$200,$M30,'QC listings'!$C$5:$C$200,Q$4)&gt;0,"?","–")))</f>
        <v>Y</v>
      </c>
      <c r="R30" s="12" t="str">
        <f aca="false">IF($M30="","",IF(COUNTIFS('QC listings'!$A$5:$A$200,$M30,'QC listings'!$C$5:$C$200,R$4,'QC listings'!$F$5:$F$200,"Listing page")+COUNTIFS('QC listings'!$A$5:$A$200,$M30,'QC listings'!$C$5:$C$200,R$4,'QC listings'!$F$5:$F$200,"Brand page")&gt;0,"Y",IF(COUNTIFS('QC listings'!$A$5:$A$200,$M30,'QC listings'!$C$5:$C$200,R$4)&gt;0,"?","–")))</f>
        <v>Y</v>
      </c>
      <c r="S30" s="12" t="n">
        <f aca="false">IF($M30="","",COUNTIF(O30:R30,"Y"))</f>
        <v>3</v>
      </c>
      <c r="T30" s="23" t="n">
        <f aca="false">IF($M30="","",SUMPRODUCT(MAX(('QC listings'!$A$5:$A$200=$M30)*'QC listings'!$E$5:$E$200)))</f>
        <v>0</v>
      </c>
      <c r="U30" s="12" t="n">
        <f aca="false">IF($M30="","",IF(T30&gt;=Scoring!$B$11,3,IF(T30&gt;=Scoring!$B$10,2,IF(T30&gt;=Scoring!$B$9,1,0))))</f>
        <v>0</v>
      </c>
      <c r="V30" s="12" t="n">
        <f aca="false">IFERROR(INDEX(Scoring!$B$27:$B$56,MATCH($E30,Scoring!$A$27:$A$56,0)),0)</f>
        <v>0</v>
      </c>
      <c r="W30" s="24" t="str">
        <f aca="false">IF($G30="","",ROUND((Scoring!$B$5-$G30)/30.4375,1))</f>
        <v/>
      </c>
      <c r="X30" s="12" t="n">
        <f aca="false">IF($F30="Expired",Scoring!$B$18,IF($G30="",Scoring!$B$17,IF(W30&lt;=Scoring!$B$12,Scoring!$B$13,IF(W30&lt;=Scoring!$B$14,Scoring!$B$15,Scoring!$B$16))))</f>
        <v>1</v>
      </c>
      <c r="Y30" s="15" t="n">
        <f aca="false">IF($M30="","",ROUND((S30*Scoring!$B$6+U30*Scoring!$B$7)*IFERROR(INDEX(Scoring!$B$22:$B$24,MATCH($N30,Scoring!$A$22:$A$24,0)),1)+V30*Scoring!$B$8+X30,2))</f>
        <v>3.25</v>
      </c>
      <c r="Z30" s="12" t="n">
        <f aca="false">IF($M30="","",IF(SUMPRODUCT(($M$5:$M$249=$M30)*($G$5:$G$249&gt;$G30))&gt;0,0,IF(SUMPRODUCT(($M$5:$M$249=$M30)*($G$5:$G$249=$G30)*(ROW($M$5:$M$249)&lt;ROW($M30)))&gt;0,0,1)))</f>
        <v>0</v>
      </c>
      <c r="AA30" s="12" t="str">
        <f aca="false">IF($Z30=1,RANK($AE30,$AE$5:$AE$249,0),"")</f>
        <v/>
      </c>
      <c r="AB30" s="7" t="s">
        <v>205</v>
      </c>
      <c r="AC30" s="6" t="s">
        <v>206</v>
      </c>
      <c r="AD30" s="6" t="s">
        <v>295</v>
      </c>
      <c r="AE30" s="25" t="str">
        <f aca="false">IF($Z30=1,$Y30+$T30/1000000000-ROW()/10000000,"")</f>
        <v/>
      </c>
    </row>
    <row r="31" customFormat="false" ht="23.85" hidden="false" customHeight="false" outlineLevel="0" collapsed="false">
      <c r="A31" s="7" t="s">
        <v>299</v>
      </c>
      <c r="B31" s="6" t="s">
        <v>168</v>
      </c>
      <c r="C31" s="6" t="s">
        <v>300</v>
      </c>
      <c r="D31" s="7" t="s">
        <v>145</v>
      </c>
      <c r="E31" s="7" t="s">
        <v>281</v>
      </c>
      <c r="F31" s="12" t="s">
        <v>201</v>
      </c>
      <c r="G31" s="13"/>
      <c r="H31" s="7"/>
      <c r="I31" s="6" t="s">
        <v>202</v>
      </c>
      <c r="J31" s="7" t="s">
        <v>203</v>
      </c>
      <c r="K31" s="12"/>
      <c r="L31" s="10" t="s">
        <v>301</v>
      </c>
      <c r="M31" s="7"/>
      <c r="N31" s="12"/>
      <c r="O31" s="12" t="str">
        <f aca="false">IF($M31="","",IF(COUNTIFS('QC listings'!$A$5:$A$200,$M31,'QC listings'!$C$5:$C$200,O$4,'QC listings'!$F$5:$F$200,"Listing page")+COUNTIFS('QC listings'!$A$5:$A$200,$M31,'QC listings'!$C$5:$C$200,O$4,'QC listings'!$F$5:$F$200,"Brand page")&gt;0,"Y",IF(COUNTIFS('QC listings'!$A$5:$A$200,$M31,'QC listings'!$C$5:$C$200,O$4)&gt;0,"?","–")))</f>
        <v/>
      </c>
      <c r="P31" s="12" t="str">
        <f aca="false">IF($M31="","",IF(COUNTIFS('QC listings'!$A$5:$A$200,$M31,'QC listings'!$C$5:$C$200,P$4,'QC listings'!$F$5:$F$200,"Listing page")+COUNTIFS('QC listings'!$A$5:$A$200,$M31,'QC listings'!$C$5:$C$200,P$4,'QC listings'!$F$5:$F$200,"Brand page")&gt;0,"Y",IF(COUNTIFS('QC listings'!$A$5:$A$200,$M31,'QC listings'!$C$5:$C$200,P$4)&gt;0,"?","–")))</f>
        <v/>
      </c>
      <c r="Q31" s="12" t="str">
        <f aca="false">IF($M31="","",IF(COUNTIFS('QC listings'!$A$5:$A$200,$M31,'QC listings'!$C$5:$C$200,Q$4,'QC listings'!$F$5:$F$200,"Listing page")+COUNTIFS('QC listings'!$A$5:$A$200,$M31,'QC listings'!$C$5:$C$200,Q$4,'QC listings'!$F$5:$F$200,"Brand page")&gt;0,"Y",IF(COUNTIFS('QC listings'!$A$5:$A$200,$M31,'QC listings'!$C$5:$C$200,Q$4)&gt;0,"?","–")))</f>
        <v/>
      </c>
      <c r="R31" s="12" t="str">
        <f aca="false">IF($M31="","",IF(COUNTIFS('QC listings'!$A$5:$A$200,$M31,'QC listings'!$C$5:$C$200,R$4,'QC listings'!$F$5:$F$200,"Listing page")+COUNTIFS('QC listings'!$A$5:$A$200,$M31,'QC listings'!$C$5:$C$200,R$4,'QC listings'!$F$5:$F$200,"Brand page")&gt;0,"Y",IF(COUNTIFS('QC listings'!$A$5:$A$200,$M31,'QC listings'!$C$5:$C$200,R$4)&gt;0,"?","–")))</f>
        <v/>
      </c>
      <c r="S31" s="12" t="str">
        <f aca="false">IF($M31="","",COUNTIF(O31:R31,"Y"))</f>
        <v/>
      </c>
      <c r="T31" s="23" t="str">
        <f aca="false">IF($M31="","",SUMPRODUCT(MAX(('QC listings'!$A$5:$A$200=$M31)*'QC listings'!$E$5:$E$200)))</f>
        <v/>
      </c>
      <c r="U31" s="12" t="str">
        <f aca="false">IF($M31="","",IF(T31&gt;=Scoring!$B$11,3,IF(T31&gt;=Scoring!$B$10,2,IF(T31&gt;=Scoring!$B$9,1,0))))</f>
        <v/>
      </c>
      <c r="V31" s="12" t="n">
        <f aca="false">IFERROR(INDEX(Scoring!$B$27:$B$56,MATCH($E31,Scoring!$A$27:$A$56,0)),0)</f>
        <v>0</v>
      </c>
      <c r="W31" s="24" t="str">
        <f aca="false">IF($G31="","",ROUND((Scoring!$B$5-$G31)/30.4375,1))</f>
        <v/>
      </c>
      <c r="X31" s="12" t="n">
        <f aca="false">IF($F31="Expired",Scoring!$B$18,IF($G31="",Scoring!$B$17,IF(W31&lt;=Scoring!$B$12,Scoring!$B$13,IF(W31&lt;=Scoring!$B$14,Scoring!$B$15,Scoring!$B$16))))</f>
        <v>1</v>
      </c>
      <c r="Y31" s="15" t="str">
        <f aca="false">IF($M31="","",ROUND((S31*Scoring!$B$6+U31*Scoring!$B$7)*IFERROR(INDEX(Scoring!$B$22:$B$24,MATCH($N31,Scoring!$A$22:$A$24,0)),1)+V31*Scoring!$B$8+X31,2))</f>
        <v/>
      </c>
      <c r="Z31" s="12" t="str">
        <f aca="false">IF($M31="","",IF(SUMPRODUCT(($M$5:$M$249=$M31)*($G$5:$G$249&gt;$G31))&gt;0,0,IF(SUMPRODUCT(($M$5:$M$249=$M31)*($G$5:$G$249=$G31)*(ROW($M$5:$M$249)&lt;ROW($M31)))&gt;0,0,1)))</f>
        <v/>
      </c>
      <c r="AA31" s="12" t="str">
        <f aca="false">IF($Z31=1,RANK($AE31,$AE$5:$AE$249,0),"")</f>
        <v/>
      </c>
      <c r="AB31" s="7" t="s">
        <v>205</v>
      </c>
      <c r="AC31" s="6" t="s">
        <v>206</v>
      </c>
      <c r="AD31" s="6"/>
      <c r="AE31" s="25" t="str">
        <f aca="false">IF($Z31=1,$Y31+$T31/1000000000-ROW()/10000000,"")</f>
        <v/>
      </c>
    </row>
    <row r="32" customFormat="false" ht="23.85" hidden="false" customHeight="false" outlineLevel="0" collapsed="false">
      <c r="A32" s="7" t="s">
        <v>302</v>
      </c>
      <c r="B32" s="6" t="s">
        <v>168</v>
      </c>
      <c r="C32" s="6" t="s">
        <v>303</v>
      </c>
      <c r="D32" s="7" t="s">
        <v>145</v>
      </c>
      <c r="E32" s="7" t="s">
        <v>281</v>
      </c>
      <c r="F32" s="12" t="s">
        <v>147</v>
      </c>
      <c r="G32" s="13" t="n">
        <v>45767</v>
      </c>
      <c r="H32" s="7" t="s">
        <v>304</v>
      </c>
      <c r="I32" s="6" t="s">
        <v>149</v>
      </c>
      <c r="J32" s="7" t="s">
        <v>60</v>
      </c>
      <c r="K32" s="12"/>
      <c r="L32" s="10" t="s">
        <v>305</v>
      </c>
      <c r="M32" s="7"/>
      <c r="N32" s="12"/>
      <c r="O32" s="12" t="str">
        <f aca="false">IF($M32="","",IF(COUNTIFS('QC listings'!$A$5:$A$200,$M32,'QC listings'!$C$5:$C$200,O$4,'QC listings'!$F$5:$F$200,"Listing page")+COUNTIFS('QC listings'!$A$5:$A$200,$M32,'QC listings'!$C$5:$C$200,O$4,'QC listings'!$F$5:$F$200,"Brand page")&gt;0,"Y",IF(COUNTIFS('QC listings'!$A$5:$A$200,$M32,'QC listings'!$C$5:$C$200,O$4)&gt;0,"?","–")))</f>
        <v/>
      </c>
      <c r="P32" s="12" t="str">
        <f aca="false">IF($M32="","",IF(COUNTIFS('QC listings'!$A$5:$A$200,$M32,'QC listings'!$C$5:$C$200,P$4,'QC listings'!$F$5:$F$200,"Listing page")+COUNTIFS('QC listings'!$A$5:$A$200,$M32,'QC listings'!$C$5:$C$200,P$4,'QC listings'!$F$5:$F$200,"Brand page")&gt;0,"Y",IF(COUNTIFS('QC listings'!$A$5:$A$200,$M32,'QC listings'!$C$5:$C$200,P$4)&gt;0,"?","–")))</f>
        <v/>
      </c>
      <c r="Q32" s="12" t="str">
        <f aca="false">IF($M32="","",IF(COUNTIFS('QC listings'!$A$5:$A$200,$M32,'QC listings'!$C$5:$C$200,Q$4,'QC listings'!$F$5:$F$200,"Listing page")+COUNTIFS('QC listings'!$A$5:$A$200,$M32,'QC listings'!$C$5:$C$200,Q$4,'QC listings'!$F$5:$F$200,"Brand page")&gt;0,"Y",IF(COUNTIFS('QC listings'!$A$5:$A$200,$M32,'QC listings'!$C$5:$C$200,Q$4)&gt;0,"?","–")))</f>
        <v/>
      </c>
      <c r="R32" s="12" t="str">
        <f aca="false">IF($M32="","",IF(COUNTIFS('QC listings'!$A$5:$A$200,$M32,'QC listings'!$C$5:$C$200,R$4,'QC listings'!$F$5:$F$200,"Listing page")+COUNTIFS('QC listings'!$A$5:$A$200,$M32,'QC listings'!$C$5:$C$200,R$4,'QC listings'!$F$5:$F$200,"Brand page")&gt;0,"Y",IF(COUNTIFS('QC listings'!$A$5:$A$200,$M32,'QC listings'!$C$5:$C$200,R$4)&gt;0,"?","–")))</f>
        <v/>
      </c>
      <c r="S32" s="12" t="str">
        <f aca="false">IF($M32="","",COUNTIF(O32:R32,"Y"))</f>
        <v/>
      </c>
      <c r="T32" s="23" t="str">
        <f aca="false">IF($M32="","",SUMPRODUCT(MAX(('QC listings'!$A$5:$A$200=$M32)*'QC listings'!$E$5:$E$200)))</f>
        <v/>
      </c>
      <c r="U32" s="12" t="str">
        <f aca="false">IF($M32="","",IF(T32&gt;=Scoring!$B$11,3,IF(T32&gt;=Scoring!$B$10,2,IF(T32&gt;=Scoring!$B$9,1,0))))</f>
        <v/>
      </c>
      <c r="V32" s="12" t="n">
        <f aca="false">IFERROR(INDEX(Scoring!$B$27:$B$56,MATCH($E32,Scoring!$A$27:$A$56,0)),0)</f>
        <v>0</v>
      </c>
      <c r="W32" s="24" t="n">
        <f aca="false">IF($G32="","",ROUND((Scoring!$B$5-$G32)/30.4375,1))</f>
        <v>17.4</v>
      </c>
      <c r="X32" s="12" t="n">
        <f aca="false">IF($F32="Expired",Scoring!$B$18,IF($G32="",Scoring!$B$17,IF(W32&lt;=Scoring!$B$12,Scoring!$B$13,IF(W32&lt;=Scoring!$B$14,Scoring!$B$15,Scoring!$B$16))))</f>
        <v>1</v>
      </c>
      <c r="Y32" s="15" t="str">
        <f aca="false">IF($M32="","",ROUND((S32*Scoring!$B$6+U32*Scoring!$B$7)*IFERROR(INDEX(Scoring!$B$22:$B$24,MATCH($N32,Scoring!$A$22:$A$24,0)),1)+V32*Scoring!$B$8+X32,2))</f>
        <v/>
      </c>
      <c r="Z32" s="12" t="str">
        <f aca="false">IF($M32="","",IF(SUMPRODUCT(($M$5:$M$249=$M32)*($G$5:$G$249&gt;$G32))&gt;0,0,IF(SUMPRODUCT(($M$5:$M$249=$M32)*($G$5:$G$249=$G32)*(ROW($M$5:$M$249)&lt;ROW($M32)))&gt;0,0,1)))</f>
        <v/>
      </c>
      <c r="AA32" s="12" t="str">
        <f aca="false">IF($Z32=1,RANK($AE32,$AE$5:$AE$249,0),"")</f>
        <v/>
      </c>
      <c r="AB32" s="7" t="s">
        <v>153</v>
      </c>
      <c r="AC32" s="6" t="s">
        <v>154</v>
      </c>
      <c r="AD32" s="6"/>
      <c r="AE32" s="25" t="str">
        <f aca="false">IF($Z32=1,$Y32+$T32/1000000000-ROW()/10000000,"")</f>
        <v/>
      </c>
    </row>
    <row r="33" customFormat="false" ht="23.85" hidden="false" customHeight="false" outlineLevel="0" collapsed="false">
      <c r="A33" s="7" t="s">
        <v>306</v>
      </c>
      <c r="B33" s="6" t="s">
        <v>307</v>
      </c>
      <c r="C33" s="6" t="s">
        <v>308</v>
      </c>
      <c r="D33" s="7" t="s">
        <v>145</v>
      </c>
      <c r="E33" s="7" t="s">
        <v>281</v>
      </c>
      <c r="F33" s="12" t="s">
        <v>201</v>
      </c>
      <c r="G33" s="13"/>
      <c r="H33" s="7"/>
      <c r="I33" s="6" t="s">
        <v>202</v>
      </c>
      <c r="J33" s="7" t="s">
        <v>203</v>
      </c>
      <c r="K33" s="12"/>
      <c r="L33" s="10" t="s">
        <v>309</v>
      </c>
      <c r="M33" s="7"/>
      <c r="N33" s="12"/>
      <c r="O33" s="12" t="str">
        <f aca="false">IF($M33="","",IF(COUNTIFS('QC listings'!$A$5:$A$200,$M33,'QC listings'!$C$5:$C$200,O$4,'QC listings'!$F$5:$F$200,"Listing page")+COUNTIFS('QC listings'!$A$5:$A$200,$M33,'QC listings'!$C$5:$C$200,O$4,'QC listings'!$F$5:$F$200,"Brand page")&gt;0,"Y",IF(COUNTIFS('QC listings'!$A$5:$A$200,$M33,'QC listings'!$C$5:$C$200,O$4)&gt;0,"?","–")))</f>
        <v/>
      </c>
      <c r="P33" s="12" t="str">
        <f aca="false">IF($M33="","",IF(COUNTIFS('QC listings'!$A$5:$A$200,$M33,'QC listings'!$C$5:$C$200,P$4,'QC listings'!$F$5:$F$200,"Listing page")+COUNTIFS('QC listings'!$A$5:$A$200,$M33,'QC listings'!$C$5:$C$200,P$4,'QC listings'!$F$5:$F$200,"Brand page")&gt;0,"Y",IF(COUNTIFS('QC listings'!$A$5:$A$200,$M33,'QC listings'!$C$5:$C$200,P$4)&gt;0,"?","–")))</f>
        <v/>
      </c>
      <c r="Q33" s="12" t="str">
        <f aca="false">IF($M33="","",IF(COUNTIFS('QC listings'!$A$5:$A$200,$M33,'QC listings'!$C$5:$C$200,Q$4,'QC listings'!$F$5:$F$200,"Listing page")+COUNTIFS('QC listings'!$A$5:$A$200,$M33,'QC listings'!$C$5:$C$200,Q$4,'QC listings'!$F$5:$F$200,"Brand page")&gt;0,"Y",IF(COUNTIFS('QC listings'!$A$5:$A$200,$M33,'QC listings'!$C$5:$C$200,Q$4)&gt;0,"?","–")))</f>
        <v/>
      </c>
      <c r="R33" s="12" t="str">
        <f aca="false">IF($M33="","",IF(COUNTIFS('QC listings'!$A$5:$A$200,$M33,'QC listings'!$C$5:$C$200,R$4,'QC listings'!$F$5:$F$200,"Listing page")+COUNTIFS('QC listings'!$A$5:$A$200,$M33,'QC listings'!$C$5:$C$200,R$4,'QC listings'!$F$5:$F$200,"Brand page")&gt;0,"Y",IF(COUNTIFS('QC listings'!$A$5:$A$200,$M33,'QC listings'!$C$5:$C$200,R$4)&gt;0,"?","–")))</f>
        <v/>
      </c>
      <c r="S33" s="12" t="str">
        <f aca="false">IF($M33="","",COUNTIF(O33:R33,"Y"))</f>
        <v/>
      </c>
      <c r="T33" s="23" t="str">
        <f aca="false">IF($M33="","",SUMPRODUCT(MAX(('QC listings'!$A$5:$A$200=$M33)*'QC listings'!$E$5:$E$200)))</f>
        <v/>
      </c>
      <c r="U33" s="12" t="str">
        <f aca="false">IF($M33="","",IF(T33&gt;=Scoring!$B$11,3,IF(T33&gt;=Scoring!$B$10,2,IF(T33&gt;=Scoring!$B$9,1,0))))</f>
        <v/>
      </c>
      <c r="V33" s="12" t="n">
        <f aca="false">IFERROR(INDEX(Scoring!$B$27:$B$56,MATCH($E33,Scoring!$A$27:$A$56,0)),0)</f>
        <v>0</v>
      </c>
      <c r="W33" s="24" t="str">
        <f aca="false">IF($G33="","",ROUND((Scoring!$B$5-$G33)/30.4375,1))</f>
        <v/>
      </c>
      <c r="X33" s="12" t="n">
        <f aca="false">IF($F33="Expired",Scoring!$B$18,IF($G33="",Scoring!$B$17,IF(W33&lt;=Scoring!$B$12,Scoring!$B$13,IF(W33&lt;=Scoring!$B$14,Scoring!$B$15,Scoring!$B$16))))</f>
        <v>1</v>
      </c>
      <c r="Y33" s="15" t="str">
        <f aca="false">IF($M33="","",ROUND((S33*Scoring!$B$6+U33*Scoring!$B$7)*IFERROR(INDEX(Scoring!$B$22:$B$24,MATCH($N33,Scoring!$A$22:$A$24,0)),1)+V33*Scoring!$B$8+X33,2))</f>
        <v/>
      </c>
      <c r="Z33" s="12" t="str">
        <f aca="false">IF($M33="","",IF(SUMPRODUCT(($M$5:$M$249=$M33)*($G$5:$G$249&gt;$G33))&gt;0,0,IF(SUMPRODUCT(($M$5:$M$249=$M33)*($G$5:$G$249=$G33)*(ROW($M$5:$M$249)&lt;ROW($M33)))&gt;0,0,1)))</f>
        <v/>
      </c>
      <c r="AA33" s="12" t="str">
        <f aca="false">IF($Z33=1,RANK($AE33,$AE$5:$AE$249,0),"")</f>
        <v/>
      </c>
      <c r="AB33" s="7" t="s">
        <v>205</v>
      </c>
      <c r="AC33" s="6" t="s">
        <v>206</v>
      </c>
      <c r="AD33" s="6"/>
      <c r="AE33" s="25" t="str">
        <f aca="false">IF($Z33=1,$Y33+$T33/1000000000-ROW()/10000000,"")</f>
        <v/>
      </c>
    </row>
    <row r="34" customFormat="false" ht="23.85" hidden="false" customHeight="false" outlineLevel="0" collapsed="false">
      <c r="A34" s="7" t="s">
        <v>310</v>
      </c>
      <c r="B34" s="6" t="s">
        <v>307</v>
      </c>
      <c r="C34" s="6" t="s">
        <v>281</v>
      </c>
      <c r="D34" s="7" t="s">
        <v>145</v>
      </c>
      <c r="E34" s="7" t="s">
        <v>281</v>
      </c>
      <c r="F34" s="12" t="s">
        <v>201</v>
      </c>
      <c r="G34" s="13"/>
      <c r="H34" s="7"/>
      <c r="I34" s="6" t="s">
        <v>202</v>
      </c>
      <c r="J34" s="7" t="s">
        <v>203</v>
      </c>
      <c r="K34" s="12"/>
      <c r="L34" s="10" t="s">
        <v>311</v>
      </c>
      <c r="M34" s="7"/>
      <c r="N34" s="12"/>
      <c r="O34" s="12" t="str">
        <f aca="false">IF($M34="","",IF(COUNTIFS('QC listings'!$A$5:$A$200,$M34,'QC listings'!$C$5:$C$200,O$4,'QC listings'!$F$5:$F$200,"Listing page")+COUNTIFS('QC listings'!$A$5:$A$200,$M34,'QC listings'!$C$5:$C$200,O$4,'QC listings'!$F$5:$F$200,"Brand page")&gt;0,"Y",IF(COUNTIFS('QC listings'!$A$5:$A$200,$M34,'QC listings'!$C$5:$C$200,O$4)&gt;0,"?","–")))</f>
        <v/>
      </c>
      <c r="P34" s="12" t="str">
        <f aca="false">IF($M34="","",IF(COUNTIFS('QC listings'!$A$5:$A$200,$M34,'QC listings'!$C$5:$C$200,P$4,'QC listings'!$F$5:$F$200,"Listing page")+COUNTIFS('QC listings'!$A$5:$A$200,$M34,'QC listings'!$C$5:$C$200,P$4,'QC listings'!$F$5:$F$200,"Brand page")&gt;0,"Y",IF(COUNTIFS('QC listings'!$A$5:$A$200,$M34,'QC listings'!$C$5:$C$200,P$4)&gt;0,"?","–")))</f>
        <v/>
      </c>
      <c r="Q34" s="12" t="str">
        <f aca="false">IF($M34="","",IF(COUNTIFS('QC listings'!$A$5:$A$200,$M34,'QC listings'!$C$5:$C$200,Q$4,'QC listings'!$F$5:$F$200,"Listing page")+COUNTIFS('QC listings'!$A$5:$A$200,$M34,'QC listings'!$C$5:$C$200,Q$4,'QC listings'!$F$5:$F$200,"Brand page")&gt;0,"Y",IF(COUNTIFS('QC listings'!$A$5:$A$200,$M34,'QC listings'!$C$5:$C$200,Q$4)&gt;0,"?","–")))</f>
        <v/>
      </c>
      <c r="R34" s="12" t="str">
        <f aca="false">IF($M34="","",IF(COUNTIFS('QC listings'!$A$5:$A$200,$M34,'QC listings'!$C$5:$C$200,R$4,'QC listings'!$F$5:$F$200,"Listing page")+COUNTIFS('QC listings'!$A$5:$A$200,$M34,'QC listings'!$C$5:$C$200,R$4,'QC listings'!$F$5:$F$200,"Brand page")&gt;0,"Y",IF(COUNTIFS('QC listings'!$A$5:$A$200,$M34,'QC listings'!$C$5:$C$200,R$4)&gt;0,"?","–")))</f>
        <v/>
      </c>
      <c r="S34" s="12" t="str">
        <f aca="false">IF($M34="","",COUNTIF(O34:R34,"Y"))</f>
        <v/>
      </c>
      <c r="T34" s="23" t="str">
        <f aca="false">IF($M34="","",SUMPRODUCT(MAX(('QC listings'!$A$5:$A$200=$M34)*'QC listings'!$E$5:$E$200)))</f>
        <v/>
      </c>
      <c r="U34" s="12" t="str">
        <f aca="false">IF($M34="","",IF(T34&gt;=Scoring!$B$11,3,IF(T34&gt;=Scoring!$B$10,2,IF(T34&gt;=Scoring!$B$9,1,0))))</f>
        <v/>
      </c>
      <c r="V34" s="12" t="n">
        <f aca="false">IFERROR(INDEX(Scoring!$B$27:$B$56,MATCH($E34,Scoring!$A$27:$A$56,0)),0)</f>
        <v>0</v>
      </c>
      <c r="W34" s="24" t="str">
        <f aca="false">IF($G34="","",ROUND((Scoring!$B$5-$G34)/30.4375,1))</f>
        <v/>
      </c>
      <c r="X34" s="12" t="n">
        <f aca="false">IF($F34="Expired",Scoring!$B$18,IF($G34="",Scoring!$B$17,IF(W34&lt;=Scoring!$B$12,Scoring!$B$13,IF(W34&lt;=Scoring!$B$14,Scoring!$B$15,Scoring!$B$16))))</f>
        <v>1</v>
      </c>
      <c r="Y34" s="15" t="str">
        <f aca="false">IF($M34="","",ROUND((S34*Scoring!$B$6+U34*Scoring!$B$7)*IFERROR(INDEX(Scoring!$B$22:$B$24,MATCH($N34,Scoring!$A$22:$A$24,0)),1)+V34*Scoring!$B$8+X34,2))</f>
        <v/>
      </c>
      <c r="Z34" s="12" t="str">
        <f aca="false">IF($M34="","",IF(SUMPRODUCT(($M$5:$M$249=$M34)*($G$5:$G$249&gt;$G34))&gt;0,0,IF(SUMPRODUCT(($M$5:$M$249=$M34)*($G$5:$G$249=$G34)*(ROW($M$5:$M$249)&lt;ROW($M34)))&gt;0,0,1)))</f>
        <v/>
      </c>
      <c r="AA34" s="12" t="str">
        <f aca="false">IF($Z34=1,RANK($AE34,$AE$5:$AE$249,0),"")</f>
        <v/>
      </c>
      <c r="AB34" s="7" t="s">
        <v>205</v>
      </c>
      <c r="AC34" s="6" t="s">
        <v>206</v>
      </c>
      <c r="AD34" s="6"/>
      <c r="AE34" s="25" t="str">
        <f aca="false">IF($Z34=1,$Y34+$T34/1000000000-ROW()/10000000,"")</f>
        <v/>
      </c>
    </row>
    <row r="35" customFormat="false" ht="23.85" hidden="false" customHeight="false" outlineLevel="0" collapsed="false">
      <c r="A35" s="7" t="s">
        <v>312</v>
      </c>
      <c r="B35" s="6" t="s">
        <v>313</v>
      </c>
      <c r="C35" s="6" t="s">
        <v>314</v>
      </c>
      <c r="D35" s="7" t="s">
        <v>145</v>
      </c>
      <c r="E35" s="7" t="s">
        <v>281</v>
      </c>
      <c r="F35" s="12" t="s">
        <v>147</v>
      </c>
      <c r="G35" s="13" t="n">
        <v>46005</v>
      </c>
      <c r="H35" s="7" t="s">
        <v>315</v>
      </c>
      <c r="I35" s="6" t="s">
        <v>149</v>
      </c>
      <c r="J35" s="7" t="s">
        <v>60</v>
      </c>
      <c r="K35" s="12"/>
      <c r="L35" s="10" t="s">
        <v>316</v>
      </c>
      <c r="M35" s="7"/>
      <c r="N35" s="12"/>
      <c r="O35" s="12" t="str">
        <f aca="false">IF($M35="","",IF(COUNTIFS('QC listings'!$A$5:$A$200,$M35,'QC listings'!$C$5:$C$200,O$4,'QC listings'!$F$5:$F$200,"Listing page")+COUNTIFS('QC listings'!$A$5:$A$200,$M35,'QC listings'!$C$5:$C$200,O$4,'QC listings'!$F$5:$F$200,"Brand page")&gt;0,"Y",IF(COUNTIFS('QC listings'!$A$5:$A$200,$M35,'QC listings'!$C$5:$C$200,O$4)&gt;0,"?","–")))</f>
        <v/>
      </c>
      <c r="P35" s="12" t="str">
        <f aca="false">IF($M35="","",IF(COUNTIFS('QC listings'!$A$5:$A$200,$M35,'QC listings'!$C$5:$C$200,P$4,'QC listings'!$F$5:$F$200,"Listing page")+COUNTIFS('QC listings'!$A$5:$A$200,$M35,'QC listings'!$C$5:$C$200,P$4,'QC listings'!$F$5:$F$200,"Brand page")&gt;0,"Y",IF(COUNTIFS('QC listings'!$A$5:$A$200,$M35,'QC listings'!$C$5:$C$200,P$4)&gt;0,"?","–")))</f>
        <v/>
      </c>
      <c r="Q35" s="12" t="str">
        <f aca="false">IF($M35="","",IF(COUNTIFS('QC listings'!$A$5:$A$200,$M35,'QC listings'!$C$5:$C$200,Q$4,'QC listings'!$F$5:$F$200,"Listing page")+COUNTIFS('QC listings'!$A$5:$A$200,$M35,'QC listings'!$C$5:$C$200,Q$4,'QC listings'!$F$5:$F$200,"Brand page")&gt;0,"Y",IF(COUNTIFS('QC listings'!$A$5:$A$200,$M35,'QC listings'!$C$5:$C$200,Q$4)&gt;0,"?","–")))</f>
        <v/>
      </c>
      <c r="R35" s="12" t="str">
        <f aca="false">IF($M35="","",IF(COUNTIFS('QC listings'!$A$5:$A$200,$M35,'QC listings'!$C$5:$C$200,R$4,'QC listings'!$F$5:$F$200,"Listing page")+COUNTIFS('QC listings'!$A$5:$A$200,$M35,'QC listings'!$C$5:$C$200,R$4,'QC listings'!$F$5:$F$200,"Brand page")&gt;0,"Y",IF(COUNTIFS('QC listings'!$A$5:$A$200,$M35,'QC listings'!$C$5:$C$200,R$4)&gt;0,"?","–")))</f>
        <v/>
      </c>
      <c r="S35" s="12" t="str">
        <f aca="false">IF($M35="","",COUNTIF(O35:R35,"Y"))</f>
        <v/>
      </c>
      <c r="T35" s="23" t="str">
        <f aca="false">IF($M35="","",SUMPRODUCT(MAX(('QC listings'!$A$5:$A$200=$M35)*'QC listings'!$E$5:$E$200)))</f>
        <v/>
      </c>
      <c r="U35" s="12" t="str">
        <f aca="false">IF($M35="","",IF(T35&gt;=Scoring!$B$11,3,IF(T35&gt;=Scoring!$B$10,2,IF(T35&gt;=Scoring!$B$9,1,0))))</f>
        <v/>
      </c>
      <c r="V35" s="12" t="n">
        <f aca="false">IFERROR(INDEX(Scoring!$B$27:$B$56,MATCH($E35,Scoring!$A$27:$A$56,0)),0)</f>
        <v>0</v>
      </c>
      <c r="W35" s="24" t="n">
        <f aca="false">IF($G35="","",ROUND((Scoring!$B$5-$G35)/30.4375,1))</f>
        <v>9.6</v>
      </c>
      <c r="X35" s="12" t="n">
        <f aca="false">IF($F35="Expired",Scoring!$B$18,IF($G35="",Scoring!$B$17,IF(W35&lt;=Scoring!$B$12,Scoring!$B$13,IF(W35&lt;=Scoring!$B$14,Scoring!$B$15,Scoring!$B$16))))</f>
        <v>2</v>
      </c>
      <c r="Y35" s="15" t="str">
        <f aca="false">IF($M35="","",ROUND((S35*Scoring!$B$6+U35*Scoring!$B$7)*IFERROR(INDEX(Scoring!$B$22:$B$24,MATCH($N35,Scoring!$A$22:$A$24,0)),1)+V35*Scoring!$B$8+X35,2))</f>
        <v/>
      </c>
      <c r="Z35" s="12" t="str">
        <f aca="false">IF($M35="","",IF(SUMPRODUCT(($M$5:$M$249=$M35)*($G$5:$G$249&gt;$G35))&gt;0,0,IF(SUMPRODUCT(($M$5:$M$249=$M35)*($G$5:$G$249=$G35)*(ROW($M$5:$M$249)&lt;ROW($M35)))&gt;0,0,1)))</f>
        <v/>
      </c>
      <c r="AA35" s="12" t="str">
        <f aca="false">IF($Z35=1,RANK($AE35,$AE$5:$AE$249,0),"")</f>
        <v/>
      </c>
      <c r="AB35" s="7" t="s">
        <v>153</v>
      </c>
      <c r="AC35" s="6" t="s">
        <v>154</v>
      </c>
      <c r="AD35" s="6"/>
      <c r="AE35" s="25" t="str">
        <f aca="false">IF($Z35=1,$Y35+$T35/1000000000-ROW()/10000000,"")</f>
        <v/>
      </c>
    </row>
    <row r="36" customFormat="false" ht="23.85" hidden="false" customHeight="false" outlineLevel="0" collapsed="false">
      <c r="A36" s="7" t="s">
        <v>317</v>
      </c>
      <c r="B36" s="6" t="s">
        <v>318</v>
      </c>
      <c r="C36" s="6" t="s">
        <v>319</v>
      </c>
      <c r="D36" s="7" t="s">
        <v>145</v>
      </c>
      <c r="E36" s="7" t="s">
        <v>281</v>
      </c>
      <c r="F36" s="12" t="s">
        <v>201</v>
      </c>
      <c r="G36" s="13"/>
      <c r="H36" s="7"/>
      <c r="I36" s="6" t="s">
        <v>202</v>
      </c>
      <c r="J36" s="7" t="s">
        <v>203</v>
      </c>
      <c r="K36" s="12"/>
      <c r="L36" s="10" t="s">
        <v>320</v>
      </c>
      <c r="M36" s="7"/>
      <c r="N36" s="12"/>
      <c r="O36" s="12" t="str">
        <f aca="false">IF($M36="","",IF(COUNTIFS('QC listings'!$A$5:$A$200,$M36,'QC listings'!$C$5:$C$200,O$4,'QC listings'!$F$5:$F$200,"Listing page")+COUNTIFS('QC listings'!$A$5:$A$200,$M36,'QC listings'!$C$5:$C$200,O$4,'QC listings'!$F$5:$F$200,"Brand page")&gt;0,"Y",IF(COUNTIFS('QC listings'!$A$5:$A$200,$M36,'QC listings'!$C$5:$C$200,O$4)&gt;0,"?","–")))</f>
        <v/>
      </c>
      <c r="P36" s="12" t="str">
        <f aca="false">IF($M36="","",IF(COUNTIFS('QC listings'!$A$5:$A$200,$M36,'QC listings'!$C$5:$C$200,P$4,'QC listings'!$F$5:$F$200,"Listing page")+COUNTIFS('QC listings'!$A$5:$A$200,$M36,'QC listings'!$C$5:$C$200,P$4,'QC listings'!$F$5:$F$200,"Brand page")&gt;0,"Y",IF(COUNTIFS('QC listings'!$A$5:$A$200,$M36,'QC listings'!$C$5:$C$200,P$4)&gt;0,"?","–")))</f>
        <v/>
      </c>
      <c r="Q36" s="12" t="str">
        <f aca="false">IF($M36="","",IF(COUNTIFS('QC listings'!$A$5:$A$200,$M36,'QC listings'!$C$5:$C$200,Q$4,'QC listings'!$F$5:$F$200,"Listing page")+COUNTIFS('QC listings'!$A$5:$A$200,$M36,'QC listings'!$C$5:$C$200,Q$4,'QC listings'!$F$5:$F$200,"Brand page")&gt;0,"Y",IF(COUNTIFS('QC listings'!$A$5:$A$200,$M36,'QC listings'!$C$5:$C$200,Q$4)&gt;0,"?","–")))</f>
        <v/>
      </c>
      <c r="R36" s="12" t="str">
        <f aca="false">IF($M36="","",IF(COUNTIFS('QC listings'!$A$5:$A$200,$M36,'QC listings'!$C$5:$C$200,R$4,'QC listings'!$F$5:$F$200,"Listing page")+COUNTIFS('QC listings'!$A$5:$A$200,$M36,'QC listings'!$C$5:$C$200,R$4,'QC listings'!$F$5:$F$200,"Brand page")&gt;0,"Y",IF(COUNTIFS('QC listings'!$A$5:$A$200,$M36,'QC listings'!$C$5:$C$200,R$4)&gt;0,"?","–")))</f>
        <v/>
      </c>
      <c r="S36" s="12" t="str">
        <f aca="false">IF($M36="","",COUNTIF(O36:R36,"Y"))</f>
        <v/>
      </c>
      <c r="T36" s="23" t="str">
        <f aca="false">IF($M36="","",SUMPRODUCT(MAX(('QC listings'!$A$5:$A$200=$M36)*'QC listings'!$E$5:$E$200)))</f>
        <v/>
      </c>
      <c r="U36" s="12" t="str">
        <f aca="false">IF($M36="","",IF(T36&gt;=Scoring!$B$11,3,IF(T36&gt;=Scoring!$B$10,2,IF(T36&gt;=Scoring!$B$9,1,0))))</f>
        <v/>
      </c>
      <c r="V36" s="12" t="n">
        <f aca="false">IFERROR(INDEX(Scoring!$B$27:$B$56,MATCH($E36,Scoring!$A$27:$A$56,0)),0)</f>
        <v>0</v>
      </c>
      <c r="W36" s="24" t="str">
        <f aca="false">IF($G36="","",ROUND((Scoring!$B$5-$G36)/30.4375,1))</f>
        <v/>
      </c>
      <c r="X36" s="12" t="n">
        <f aca="false">IF($F36="Expired",Scoring!$B$18,IF($G36="",Scoring!$B$17,IF(W36&lt;=Scoring!$B$12,Scoring!$B$13,IF(W36&lt;=Scoring!$B$14,Scoring!$B$15,Scoring!$B$16))))</f>
        <v>1</v>
      </c>
      <c r="Y36" s="15" t="str">
        <f aca="false">IF($M36="","",ROUND((S36*Scoring!$B$6+U36*Scoring!$B$7)*IFERROR(INDEX(Scoring!$B$22:$B$24,MATCH($N36,Scoring!$A$22:$A$24,0)),1)+V36*Scoring!$B$8+X36,2))</f>
        <v/>
      </c>
      <c r="Z36" s="12" t="str">
        <f aca="false">IF($M36="","",IF(SUMPRODUCT(($M$5:$M$249=$M36)*($G$5:$G$249&gt;$G36))&gt;0,0,IF(SUMPRODUCT(($M$5:$M$249=$M36)*($G$5:$G$249=$G36)*(ROW($M$5:$M$249)&lt;ROW($M36)))&gt;0,0,1)))</f>
        <v/>
      </c>
      <c r="AA36" s="12" t="str">
        <f aca="false">IF($Z36=1,RANK($AE36,$AE$5:$AE$249,0),"")</f>
        <v/>
      </c>
      <c r="AB36" s="7" t="s">
        <v>205</v>
      </c>
      <c r="AC36" s="6" t="s">
        <v>206</v>
      </c>
      <c r="AD36" s="6" t="s">
        <v>321</v>
      </c>
      <c r="AE36" s="25" t="str">
        <f aca="false">IF($Z36=1,$Y36+$T36/1000000000-ROW()/10000000,"")</f>
        <v/>
      </c>
    </row>
    <row r="37" customFormat="false" ht="23.85" hidden="false" customHeight="false" outlineLevel="0" collapsed="false">
      <c r="A37" s="7" t="s">
        <v>322</v>
      </c>
      <c r="B37" s="6" t="s">
        <v>279</v>
      </c>
      <c r="C37" s="6" t="s">
        <v>323</v>
      </c>
      <c r="D37" s="7" t="s">
        <v>145</v>
      </c>
      <c r="E37" s="7" t="s">
        <v>324</v>
      </c>
      <c r="F37" s="12" t="s">
        <v>158</v>
      </c>
      <c r="G37" s="13" t="n">
        <v>46223</v>
      </c>
      <c r="H37" s="7" t="s">
        <v>325</v>
      </c>
      <c r="I37" s="6" t="s">
        <v>149</v>
      </c>
      <c r="J37" s="7" t="s">
        <v>60</v>
      </c>
      <c r="K37" s="12"/>
      <c r="L37" s="10" t="s">
        <v>326</v>
      </c>
      <c r="M37" s="7" t="s">
        <v>327</v>
      </c>
      <c r="N37" s="12" t="s">
        <v>152</v>
      </c>
      <c r="O37" s="12" t="str">
        <f aca="false">IF($M37="","",IF(COUNTIFS('QC listings'!$A$5:$A$200,$M37,'QC listings'!$C$5:$C$200,O$4,'QC listings'!$F$5:$F$200,"Listing page")+COUNTIFS('QC listings'!$A$5:$A$200,$M37,'QC listings'!$C$5:$C$200,O$4,'QC listings'!$F$5:$F$200,"Brand page")&gt;0,"Y",IF(COUNTIFS('QC listings'!$A$5:$A$200,$M37,'QC listings'!$C$5:$C$200,O$4)&gt;0,"?","–")))</f>
        <v>Y</v>
      </c>
      <c r="P37" s="12" t="str">
        <f aca="false">IF($M37="","",IF(COUNTIFS('QC listings'!$A$5:$A$200,$M37,'QC listings'!$C$5:$C$200,P$4,'QC listings'!$F$5:$F$200,"Listing page")+COUNTIFS('QC listings'!$A$5:$A$200,$M37,'QC listings'!$C$5:$C$200,P$4,'QC listings'!$F$5:$F$200,"Brand page")&gt;0,"Y",IF(COUNTIFS('QC listings'!$A$5:$A$200,$M37,'QC listings'!$C$5:$C$200,P$4)&gt;0,"?","–")))</f>
        <v>Y</v>
      </c>
      <c r="Q37" s="12" t="str">
        <f aca="false">IF($M37="","",IF(COUNTIFS('QC listings'!$A$5:$A$200,$M37,'QC listings'!$C$5:$C$200,Q$4,'QC listings'!$F$5:$F$200,"Listing page")+COUNTIFS('QC listings'!$A$5:$A$200,$M37,'QC listings'!$C$5:$C$200,Q$4,'QC listings'!$F$5:$F$200,"Brand page")&gt;0,"Y",IF(COUNTIFS('QC listings'!$A$5:$A$200,$M37,'QC listings'!$C$5:$C$200,Q$4)&gt;0,"?","–")))</f>
        <v>Y</v>
      </c>
      <c r="R37" s="12" t="str">
        <f aca="false">IF($M37="","",IF(COUNTIFS('QC listings'!$A$5:$A$200,$M37,'QC listings'!$C$5:$C$200,R$4,'QC listings'!$F$5:$F$200,"Listing page")+COUNTIFS('QC listings'!$A$5:$A$200,$M37,'QC listings'!$C$5:$C$200,R$4,'QC listings'!$F$5:$F$200,"Brand page")&gt;0,"Y",IF(COUNTIFS('QC listings'!$A$5:$A$200,$M37,'QC listings'!$C$5:$C$200,R$4)&gt;0,"?","–")))</f>
        <v>Y</v>
      </c>
      <c r="S37" s="12" t="n">
        <f aca="false">IF($M37="","",COUNTIF(O37:R37,"Y"))</f>
        <v>4</v>
      </c>
      <c r="T37" s="23" t="n">
        <f aca="false">IF($M37="","",SUMPRODUCT(MAX(('QC listings'!$A$5:$A$200=$M37)*'QC listings'!$E$5:$E$200)))</f>
        <v>74917</v>
      </c>
      <c r="U37" s="12" t="n">
        <f aca="false">IF($M37="","",IF(T37&gt;=Scoring!$B$11,3,IF(T37&gt;=Scoring!$B$10,2,IF(T37&gt;=Scoring!$B$9,1,0))))</f>
        <v>2</v>
      </c>
      <c r="V37" s="12" t="n">
        <f aca="false">IFERROR(INDEX(Scoring!$B$27:$B$56,MATCH($E37,Scoring!$A$27:$A$56,0)),0)</f>
        <v>0</v>
      </c>
      <c r="W37" s="24" t="n">
        <f aca="false">IF($G37="","",ROUND((Scoring!$B$5-$G37)/30.4375,1))</f>
        <v>2.4</v>
      </c>
      <c r="X37" s="12" t="n">
        <f aca="false">IF($F37="Expired",Scoring!$B$18,IF($G37="",Scoring!$B$17,IF(W37&lt;=Scoring!$B$12,Scoring!$B$13,IF(W37&lt;=Scoring!$B$14,Scoring!$B$15,Scoring!$B$16))))</f>
        <v>2</v>
      </c>
      <c r="Y37" s="15" t="n">
        <f aca="false">IF($M37="","",ROUND((S37*Scoring!$B$6+U37*Scoring!$B$7)*IFERROR(INDEX(Scoring!$B$22:$B$24,MATCH($N37,Scoring!$A$22:$A$24,0)),1)+V37*Scoring!$B$8+X37,2))</f>
        <v>10</v>
      </c>
      <c r="Z37" s="12" t="n">
        <f aca="false">IF($M37="","",IF(SUMPRODUCT(($M$5:$M$249=$M37)*($G$5:$G$249&gt;$G37))&gt;0,0,IF(SUMPRODUCT(($M$5:$M$249=$M37)*($G$5:$G$249=$G37)*(ROW($M$5:$M$249)&lt;ROW($M37)))&gt;0,0,1)))</f>
        <v>1</v>
      </c>
      <c r="AA37" s="12" t="n">
        <f aca="false">IF($Z37=1,RANK($AE37,$AE$5:$AE$249,0),"")</f>
        <v>10</v>
      </c>
      <c r="AB37" s="7" t="s">
        <v>153</v>
      </c>
      <c r="AC37" s="6" t="s">
        <v>162</v>
      </c>
      <c r="AD37" s="6"/>
      <c r="AE37" s="25" t="n">
        <f aca="false">IF($Z37=1,$Y37+$T37/1000000000-ROW()/10000000,"")</f>
        <v>10.000071217</v>
      </c>
    </row>
    <row r="38" customFormat="false" ht="23.85" hidden="false" customHeight="false" outlineLevel="0" collapsed="false">
      <c r="A38" s="7" t="s">
        <v>328</v>
      </c>
      <c r="B38" s="6" t="s">
        <v>329</v>
      </c>
      <c r="C38" s="6" t="s">
        <v>330</v>
      </c>
      <c r="D38" s="7" t="s">
        <v>145</v>
      </c>
      <c r="E38" s="7" t="s">
        <v>324</v>
      </c>
      <c r="F38" s="12" t="s">
        <v>147</v>
      </c>
      <c r="G38" s="13" t="n">
        <v>45837</v>
      </c>
      <c r="H38" s="7" t="s">
        <v>331</v>
      </c>
      <c r="I38" s="6" t="s">
        <v>149</v>
      </c>
      <c r="J38" s="7" t="s">
        <v>60</v>
      </c>
      <c r="K38" s="12"/>
      <c r="L38" s="10" t="s">
        <v>332</v>
      </c>
      <c r="M38" s="7"/>
      <c r="N38" s="12"/>
      <c r="O38" s="12" t="str">
        <f aca="false">IF($M38="","",IF(COUNTIFS('QC listings'!$A$5:$A$200,$M38,'QC listings'!$C$5:$C$200,O$4,'QC listings'!$F$5:$F$200,"Listing page")+COUNTIFS('QC listings'!$A$5:$A$200,$M38,'QC listings'!$C$5:$C$200,O$4,'QC listings'!$F$5:$F$200,"Brand page")&gt;0,"Y",IF(COUNTIFS('QC listings'!$A$5:$A$200,$M38,'QC listings'!$C$5:$C$200,O$4)&gt;0,"?","–")))</f>
        <v/>
      </c>
      <c r="P38" s="12" t="str">
        <f aca="false">IF($M38="","",IF(COUNTIFS('QC listings'!$A$5:$A$200,$M38,'QC listings'!$C$5:$C$200,P$4,'QC listings'!$F$5:$F$200,"Listing page")+COUNTIFS('QC listings'!$A$5:$A$200,$M38,'QC listings'!$C$5:$C$200,P$4,'QC listings'!$F$5:$F$200,"Brand page")&gt;0,"Y",IF(COUNTIFS('QC listings'!$A$5:$A$200,$M38,'QC listings'!$C$5:$C$200,P$4)&gt;0,"?","–")))</f>
        <v/>
      </c>
      <c r="Q38" s="12" t="str">
        <f aca="false">IF($M38="","",IF(COUNTIFS('QC listings'!$A$5:$A$200,$M38,'QC listings'!$C$5:$C$200,Q$4,'QC listings'!$F$5:$F$200,"Listing page")+COUNTIFS('QC listings'!$A$5:$A$200,$M38,'QC listings'!$C$5:$C$200,Q$4,'QC listings'!$F$5:$F$200,"Brand page")&gt;0,"Y",IF(COUNTIFS('QC listings'!$A$5:$A$200,$M38,'QC listings'!$C$5:$C$200,Q$4)&gt;0,"?","–")))</f>
        <v/>
      </c>
      <c r="R38" s="12" t="str">
        <f aca="false">IF($M38="","",IF(COUNTIFS('QC listings'!$A$5:$A$200,$M38,'QC listings'!$C$5:$C$200,R$4,'QC listings'!$F$5:$F$200,"Listing page")+COUNTIFS('QC listings'!$A$5:$A$200,$M38,'QC listings'!$C$5:$C$200,R$4,'QC listings'!$F$5:$F$200,"Brand page")&gt;0,"Y",IF(COUNTIFS('QC listings'!$A$5:$A$200,$M38,'QC listings'!$C$5:$C$200,R$4)&gt;0,"?","–")))</f>
        <v/>
      </c>
      <c r="S38" s="12" t="str">
        <f aca="false">IF($M38="","",COUNTIF(O38:R38,"Y"))</f>
        <v/>
      </c>
      <c r="T38" s="23" t="str">
        <f aca="false">IF($M38="","",SUMPRODUCT(MAX(('QC listings'!$A$5:$A$200=$M38)*'QC listings'!$E$5:$E$200)))</f>
        <v/>
      </c>
      <c r="U38" s="12" t="str">
        <f aca="false">IF($M38="","",IF(T38&gt;=Scoring!$B$11,3,IF(T38&gt;=Scoring!$B$10,2,IF(T38&gt;=Scoring!$B$9,1,0))))</f>
        <v/>
      </c>
      <c r="V38" s="12" t="n">
        <f aca="false">IFERROR(INDEX(Scoring!$B$27:$B$56,MATCH($E38,Scoring!$A$27:$A$56,0)),0)</f>
        <v>0</v>
      </c>
      <c r="W38" s="24" t="n">
        <f aca="false">IF($G38="","",ROUND((Scoring!$B$5-$G38)/30.4375,1))</f>
        <v>15.1</v>
      </c>
      <c r="X38" s="12" t="n">
        <f aca="false">IF($F38="Expired",Scoring!$B$18,IF($G38="",Scoring!$B$17,IF(W38&lt;=Scoring!$B$12,Scoring!$B$13,IF(W38&lt;=Scoring!$B$14,Scoring!$B$15,Scoring!$B$16))))</f>
        <v>1</v>
      </c>
      <c r="Y38" s="15" t="str">
        <f aca="false">IF($M38="","",ROUND((S38*Scoring!$B$6+U38*Scoring!$B$7)*IFERROR(INDEX(Scoring!$B$22:$B$24,MATCH($N38,Scoring!$A$22:$A$24,0)),1)+V38*Scoring!$B$8+X38,2))</f>
        <v/>
      </c>
      <c r="Z38" s="12" t="str">
        <f aca="false">IF($M38="","",IF(SUMPRODUCT(($M$5:$M$249=$M38)*($G$5:$G$249&gt;$G38))&gt;0,0,IF(SUMPRODUCT(($M$5:$M$249=$M38)*($G$5:$G$249=$G38)*(ROW($M$5:$M$249)&lt;ROW($M38)))&gt;0,0,1)))</f>
        <v/>
      </c>
      <c r="AA38" s="12" t="str">
        <f aca="false">IF($Z38=1,RANK($AE38,$AE$5:$AE$249,0),"")</f>
        <v/>
      </c>
      <c r="AB38" s="7" t="s">
        <v>153</v>
      </c>
      <c r="AC38" s="6" t="s">
        <v>154</v>
      </c>
      <c r="AD38" s="6"/>
      <c r="AE38" s="25" t="str">
        <f aca="false">IF($Z38=1,$Y38+$T38/1000000000-ROW()/10000000,"")</f>
        <v/>
      </c>
    </row>
    <row r="39" customFormat="false" ht="23.85" hidden="false" customHeight="false" outlineLevel="0" collapsed="false">
      <c r="A39" s="7" t="s">
        <v>333</v>
      </c>
      <c r="B39" s="6" t="s">
        <v>334</v>
      </c>
      <c r="C39" s="6" t="s">
        <v>335</v>
      </c>
      <c r="D39" s="7" t="s">
        <v>145</v>
      </c>
      <c r="E39" s="7" t="s">
        <v>324</v>
      </c>
      <c r="F39" s="12" t="s">
        <v>147</v>
      </c>
      <c r="G39" s="13" t="n">
        <v>46103</v>
      </c>
      <c r="H39" s="7" t="s">
        <v>336</v>
      </c>
      <c r="I39" s="6" t="s">
        <v>149</v>
      </c>
      <c r="J39" s="7" t="s">
        <v>60</v>
      </c>
      <c r="K39" s="12"/>
      <c r="L39" s="10" t="s">
        <v>337</v>
      </c>
      <c r="M39" s="7" t="s">
        <v>338</v>
      </c>
      <c r="N39" s="12" t="s">
        <v>152</v>
      </c>
      <c r="O39" s="12" t="str">
        <f aca="false">IF($M39="","",IF(COUNTIFS('QC listings'!$A$5:$A$200,$M39,'QC listings'!$C$5:$C$200,O$4,'QC listings'!$F$5:$F$200,"Listing page")+COUNTIFS('QC listings'!$A$5:$A$200,$M39,'QC listings'!$C$5:$C$200,O$4,'QC listings'!$F$5:$F$200,"Brand page")&gt;0,"Y",IF(COUNTIFS('QC listings'!$A$5:$A$200,$M39,'QC listings'!$C$5:$C$200,O$4)&gt;0,"?","–")))</f>
        <v>–</v>
      </c>
      <c r="P39" s="12" t="str">
        <f aca="false">IF($M39="","",IF(COUNTIFS('QC listings'!$A$5:$A$200,$M39,'QC listings'!$C$5:$C$200,P$4,'QC listings'!$F$5:$F$200,"Listing page")+COUNTIFS('QC listings'!$A$5:$A$200,$M39,'QC listings'!$C$5:$C$200,P$4,'QC listings'!$F$5:$F$200,"Brand page")&gt;0,"Y",IF(COUNTIFS('QC listings'!$A$5:$A$200,$M39,'QC listings'!$C$5:$C$200,P$4)&gt;0,"?","–")))</f>
        <v>Y</v>
      </c>
      <c r="Q39" s="12" t="str">
        <f aca="false">IF($M39="","",IF(COUNTIFS('QC listings'!$A$5:$A$200,$M39,'QC listings'!$C$5:$C$200,Q$4,'QC listings'!$F$5:$F$200,"Listing page")+COUNTIFS('QC listings'!$A$5:$A$200,$M39,'QC listings'!$C$5:$C$200,Q$4,'QC listings'!$F$5:$F$200,"Brand page")&gt;0,"Y",IF(COUNTIFS('QC listings'!$A$5:$A$200,$M39,'QC listings'!$C$5:$C$200,Q$4)&gt;0,"?","–")))</f>
        <v>Y</v>
      </c>
      <c r="R39" s="12" t="str">
        <f aca="false">IF($M39="","",IF(COUNTIFS('QC listings'!$A$5:$A$200,$M39,'QC listings'!$C$5:$C$200,R$4,'QC listings'!$F$5:$F$200,"Listing page")+COUNTIFS('QC listings'!$A$5:$A$200,$M39,'QC listings'!$C$5:$C$200,R$4,'QC listings'!$F$5:$F$200,"Brand page")&gt;0,"Y",IF(COUNTIFS('QC listings'!$A$5:$A$200,$M39,'QC listings'!$C$5:$C$200,R$4)&gt;0,"?","–")))</f>
        <v>Y</v>
      </c>
      <c r="S39" s="12" t="n">
        <f aca="false">IF($M39="","",COUNTIF(O39:R39,"Y"))</f>
        <v>3</v>
      </c>
      <c r="T39" s="23" t="n">
        <f aca="false">IF($M39="","",SUMPRODUCT(MAX(('QC listings'!$A$5:$A$200=$M39)*'QC listings'!$E$5:$E$200)))</f>
        <v>23064</v>
      </c>
      <c r="U39" s="12" t="n">
        <f aca="false">IF($M39="","",IF(T39&gt;=Scoring!$B$11,3,IF(T39&gt;=Scoring!$B$10,2,IF(T39&gt;=Scoring!$B$9,1,0))))</f>
        <v>2</v>
      </c>
      <c r="V39" s="12" t="n">
        <f aca="false">IFERROR(INDEX(Scoring!$B$27:$B$56,MATCH($E39,Scoring!$A$27:$A$56,0)),0)</f>
        <v>0</v>
      </c>
      <c r="W39" s="24" t="n">
        <f aca="false">IF($G39="","",ROUND((Scoring!$B$5-$G39)/30.4375,1))</f>
        <v>6.4</v>
      </c>
      <c r="X39" s="12" t="n">
        <f aca="false">IF($F39="Expired",Scoring!$B$18,IF($G39="",Scoring!$B$17,IF(W39&lt;=Scoring!$B$12,Scoring!$B$13,IF(W39&lt;=Scoring!$B$14,Scoring!$B$15,Scoring!$B$16))))</f>
        <v>2</v>
      </c>
      <c r="Y39" s="15" t="n">
        <f aca="false">IF($M39="","",ROUND((S39*Scoring!$B$6+U39*Scoring!$B$7)*IFERROR(INDEX(Scoring!$B$22:$B$24,MATCH($N39,Scoring!$A$22:$A$24,0)),1)+V39*Scoring!$B$8+X39,2))</f>
        <v>9</v>
      </c>
      <c r="Z39" s="12" t="n">
        <f aca="false">IF($M39="","",IF(SUMPRODUCT(($M$5:$M$249=$M39)*($G$5:$G$249&gt;$G39))&gt;0,0,IF(SUMPRODUCT(($M$5:$M$249=$M39)*($G$5:$G$249=$G39)*(ROW($M$5:$M$249)&lt;ROW($M39)))&gt;0,0,1)))</f>
        <v>1</v>
      </c>
      <c r="AA39" s="12" t="n">
        <f aca="false">IF($Z39=1,RANK($AE39,$AE$5:$AE$249,0),"")</f>
        <v>12</v>
      </c>
      <c r="AB39" s="7" t="s">
        <v>153</v>
      </c>
      <c r="AC39" s="6" t="s">
        <v>154</v>
      </c>
      <c r="AD39" s="6" t="s">
        <v>339</v>
      </c>
      <c r="AE39" s="25" t="n">
        <f aca="false">IF($Z39=1,$Y39+$T39/1000000000-ROW()/10000000,"")</f>
        <v>9.000019164</v>
      </c>
    </row>
    <row r="40" customFormat="false" ht="23.85" hidden="false" customHeight="false" outlineLevel="0" collapsed="false">
      <c r="A40" s="7" t="s">
        <v>340</v>
      </c>
      <c r="B40" s="6" t="s">
        <v>341</v>
      </c>
      <c r="C40" s="6" t="s">
        <v>342</v>
      </c>
      <c r="D40" s="7" t="s">
        <v>145</v>
      </c>
      <c r="E40" s="7" t="s">
        <v>324</v>
      </c>
      <c r="F40" s="12" t="s">
        <v>158</v>
      </c>
      <c r="G40" s="13" t="n">
        <v>45984</v>
      </c>
      <c r="H40" s="7" t="s">
        <v>343</v>
      </c>
      <c r="I40" s="6" t="s">
        <v>149</v>
      </c>
      <c r="J40" s="7" t="s">
        <v>60</v>
      </c>
      <c r="K40" s="12"/>
      <c r="L40" s="10" t="s">
        <v>344</v>
      </c>
      <c r="M40" s="7" t="s">
        <v>345</v>
      </c>
      <c r="N40" s="12" t="s">
        <v>152</v>
      </c>
      <c r="O40" s="12" t="str">
        <f aca="false">IF($M40="","",IF(COUNTIFS('QC listings'!$A$5:$A$200,$M40,'QC listings'!$C$5:$C$200,O$4,'QC listings'!$F$5:$F$200,"Listing page")+COUNTIFS('QC listings'!$A$5:$A$200,$M40,'QC listings'!$C$5:$C$200,O$4,'QC listings'!$F$5:$F$200,"Brand page")&gt;0,"Y",IF(COUNTIFS('QC listings'!$A$5:$A$200,$M40,'QC listings'!$C$5:$C$200,O$4)&gt;0,"?","–")))</f>
        <v>Y</v>
      </c>
      <c r="P40" s="12" t="str">
        <f aca="false">IF($M40="","",IF(COUNTIFS('QC listings'!$A$5:$A$200,$M40,'QC listings'!$C$5:$C$200,P$4,'QC listings'!$F$5:$F$200,"Listing page")+COUNTIFS('QC listings'!$A$5:$A$200,$M40,'QC listings'!$C$5:$C$200,P$4,'QC listings'!$F$5:$F$200,"Brand page")&gt;0,"Y",IF(COUNTIFS('QC listings'!$A$5:$A$200,$M40,'QC listings'!$C$5:$C$200,P$4)&gt;0,"?","–")))</f>
        <v>Y</v>
      </c>
      <c r="Q40" s="12" t="str">
        <f aca="false">IF($M40="","",IF(COUNTIFS('QC listings'!$A$5:$A$200,$M40,'QC listings'!$C$5:$C$200,Q$4,'QC listings'!$F$5:$F$200,"Listing page")+COUNTIFS('QC listings'!$A$5:$A$200,$M40,'QC listings'!$C$5:$C$200,Q$4,'QC listings'!$F$5:$F$200,"Brand page")&gt;0,"Y",IF(COUNTIFS('QC listings'!$A$5:$A$200,$M40,'QC listings'!$C$5:$C$200,Q$4)&gt;0,"?","–")))</f>
        <v>Y</v>
      </c>
      <c r="R40" s="12" t="str">
        <f aca="false">IF($M40="","",IF(COUNTIFS('QC listings'!$A$5:$A$200,$M40,'QC listings'!$C$5:$C$200,R$4,'QC listings'!$F$5:$F$200,"Listing page")+COUNTIFS('QC listings'!$A$5:$A$200,$M40,'QC listings'!$C$5:$C$200,R$4,'QC listings'!$F$5:$F$200,"Brand page")&gt;0,"Y",IF(COUNTIFS('QC listings'!$A$5:$A$200,$M40,'QC listings'!$C$5:$C$200,R$4)&gt;0,"?","–")))</f>
        <v>–</v>
      </c>
      <c r="S40" s="12" t="n">
        <f aca="false">IF($M40="","",COUNTIF(O40:R40,"Y"))</f>
        <v>3</v>
      </c>
      <c r="T40" s="23" t="n">
        <f aca="false">IF($M40="","",SUMPRODUCT(MAX(('QC listings'!$A$5:$A$200=$M40)*'QC listings'!$E$5:$E$200)))</f>
        <v>496464</v>
      </c>
      <c r="U40" s="12" t="n">
        <f aca="false">IF($M40="","",IF(T40&gt;=Scoring!$B$11,3,IF(T40&gt;=Scoring!$B$10,2,IF(T40&gt;=Scoring!$B$9,1,0))))</f>
        <v>3</v>
      </c>
      <c r="V40" s="12" t="n">
        <f aca="false">IFERROR(INDEX(Scoring!$B$27:$B$56,MATCH($E40,Scoring!$A$27:$A$56,0)),0)</f>
        <v>0</v>
      </c>
      <c r="W40" s="24" t="n">
        <f aca="false">IF($G40="","",ROUND((Scoring!$B$5-$G40)/30.4375,1))</f>
        <v>10.3</v>
      </c>
      <c r="X40" s="12" t="n">
        <f aca="false">IF($F40="Expired",Scoring!$B$18,IF($G40="",Scoring!$B$17,IF(W40&lt;=Scoring!$B$12,Scoring!$B$13,IF(W40&lt;=Scoring!$B$14,Scoring!$B$15,Scoring!$B$16))))</f>
        <v>2</v>
      </c>
      <c r="Y40" s="15" t="n">
        <f aca="false">IF($M40="","",ROUND((S40*Scoring!$B$6+U40*Scoring!$B$7)*IFERROR(INDEX(Scoring!$B$22:$B$24,MATCH($N40,Scoring!$A$22:$A$24,0)),1)+V40*Scoring!$B$8+X40,2))</f>
        <v>11</v>
      </c>
      <c r="Z40" s="12" t="n">
        <f aca="false">IF($M40="","",IF(SUMPRODUCT(($M$5:$M$249=$M40)*($G$5:$G$249&gt;$G40))&gt;0,0,IF(SUMPRODUCT(($M$5:$M$249=$M40)*($G$5:$G$249=$G40)*(ROW($M$5:$M$249)&lt;ROW($M40)))&gt;0,0,1)))</f>
        <v>1</v>
      </c>
      <c r="AA40" s="12" t="n">
        <f aca="false">IF($Z40=1,RANK($AE40,$AE$5:$AE$249,0),"")</f>
        <v>6</v>
      </c>
      <c r="AB40" s="7" t="s">
        <v>153</v>
      </c>
      <c r="AC40" s="6" t="s">
        <v>162</v>
      </c>
      <c r="AD40" s="6" t="s">
        <v>173</v>
      </c>
      <c r="AE40" s="25" t="n">
        <f aca="false">IF($Z40=1,$Y40+$T40/1000000000-ROW()/10000000,"")</f>
        <v>11.000492464</v>
      </c>
    </row>
    <row r="41" customFormat="false" ht="23.85" hidden="false" customHeight="false" outlineLevel="0" collapsed="false">
      <c r="A41" s="7" t="s">
        <v>346</v>
      </c>
      <c r="B41" s="6" t="s">
        <v>347</v>
      </c>
      <c r="C41" s="6" t="s">
        <v>348</v>
      </c>
      <c r="D41" s="7" t="s">
        <v>145</v>
      </c>
      <c r="E41" s="7" t="s">
        <v>349</v>
      </c>
      <c r="F41" s="12" t="s">
        <v>158</v>
      </c>
      <c r="G41" s="13" t="n">
        <v>45926</v>
      </c>
      <c r="H41" s="7" t="s">
        <v>350</v>
      </c>
      <c r="I41" s="6" t="s">
        <v>149</v>
      </c>
      <c r="J41" s="7" t="s">
        <v>60</v>
      </c>
      <c r="K41" s="12"/>
      <c r="L41" s="10" t="s">
        <v>351</v>
      </c>
      <c r="M41" s="7" t="s">
        <v>352</v>
      </c>
      <c r="N41" s="12" t="s">
        <v>152</v>
      </c>
      <c r="O41" s="12" t="str">
        <f aca="false">IF($M41="","",IF(COUNTIFS('QC listings'!$A$5:$A$200,$M41,'QC listings'!$C$5:$C$200,O$4,'QC listings'!$F$5:$F$200,"Listing page")+COUNTIFS('QC listings'!$A$5:$A$200,$M41,'QC listings'!$C$5:$C$200,O$4,'QC listings'!$F$5:$F$200,"Brand page")&gt;0,"Y",IF(COUNTIFS('QC listings'!$A$5:$A$200,$M41,'QC listings'!$C$5:$C$200,O$4)&gt;0,"?","–")))</f>
        <v>Y</v>
      </c>
      <c r="P41" s="12" t="str">
        <f aca="false">IF($M41="","",IF(COUNTIFS('QC listings'!$A$5:$A$200,$M41,'QC listings'!$C$5:$C$200,P$4,'QC listings'!$F$5:$F$200,"Listing page")+COUNTIFS('QC listings'!$A$5:$A$200,$M41,'QC listings'!$C$5:$C$200,P$4,'QC listings'!$F$5:$F$200,"Brand page")&gt;0,"Y",IF(COUNTIFS('QC listings'!$A$5:$A$200,$M41,'QC listings'!$C$5:$C$200,P$4)&gt;0,"?","–")))</f>
        <v>Y</v>
      </c>
      <c r="Q41" s="12" t="str">
        <f aca="false">IF($M41="","",IF(COUNTIFS('QC listings'!$A$5:$A$200,$M41,'QC listings'!$C$5:$C$200,Q$4,'QC listings'!$F$5:$F$200,"Listing page")+COUNTIFS('QC listings'!$A$5:$A$200,$M41,'QC listings'!$C$5:$C$200,Q$4,'QC listings'!$F$5:$F$200,"Brand page")&gt;0,"Y",IF(COUNTIFS('QC listings'!$A$5:$A$200,$M41,'QC listings'!$C$5:$C$200,Q$4)&gt;0,"?","–")))</f>
        <v>–</v>
      </c>
      <c r="R41" s="12" t="str">
        <f aca="false">IF($M41="","",IF(COUNTIFS('QC listings'!$A$5:$A$200,$M41,'QC listings'!$C$5:$C$200,R$4,'QC listings'!$F$5:$F$200,"Listing page")+COUNTIFS('QC listings'!$A$5:$A$200,$M41,'QC listings'!$C$5:$C$200,R$4,'QC listings'!$F$5:$F$200,"Brand page")&gt;0,"Y",IF(COUNTIFS('QC listings'!$A$5:$A$200,$M41,'QC listings'!$C$5:$C$200,R$4)&gt;0,"?","–")))</f>
        <v>Y</v>
      </c>
      <c r="S41" s="12" t="n">
        <f aca="false">IF($M41="","",COUNTIF(O41:R41,"Y"))</f>
        <v>3</v>
      </c>
      <c r="T41" s="23" t="n">
        <f aca="false">IF($M41="","",SUMPRODUCT(MAX(('QC listings'!$A$5:$A$200=$M41)*'QC listings'!$E$5:$E$200)))</f>
        <v>19850</v>
      </c>
      <c r="U41" s="12" t="n">
        <f aca="false">IF($M41="","",IF(T41&gt;=Scoring!$B$11,3,IF(T41&gt;=Scoring!$B$10,2,IF(T41&gt;=Scoring!$B$9,1,0))))</f>
        <v>2</v>
      </c>
      <c r="V41" s="12" t="n">
        <f aca="false">IFERROR(INDEX(Scoring!$B$27:$B$56,MATCH($E41,Scoring!$A$27:$A$56,0)),0)</f>
        <v>0</v>
      </c>
      <c r="W41" s="24" t="n">
        <f aca="false">IF($G41="","",ROUND((Scoring!$B$5-$G41)/30.4375,1))</f>
        <v>12.2</v>
      </c>
      <c r="X41" s="12" t="n">
        <f aca="false">IF($F41="Expired",Scoring!$B$18,IF($G41="",Scoring!$B$17,IF(W41&lt;=Scoring!$B$12,Scoring!$B$13,IF(W41&lt;=Scoring!$B$14,Scoring!$B$15,Scoring!$B$16))))</f>
        <v>1</v>
      </c>
      <c r="Y41" s="15" t="n">
        <f aca="false">IF($M41="","",ROUND((S41*Scoring!$B$6+U41*Scoring!$B$7)*IFERROR(INDEX(Scoring!$B$22:$B$24,MATCH($N41,Scoring!$A$22:$A$24,0)),1)+V41*Scoring!$B$8+X41,2))</f>
        <v>8</v>
      </c>
      <c r="Z41" s="12" t="n">
        <f aca="false">IF($M41="","",IF(SUMPRODUCT(($M$5:$M$249=$M41)*($G$5:$G$249&gt;$G41))&gt;0,0,IF(SUMPRODUCT(($M$5:$M$249=$M41)*($G$5:$G$249=$G41)*(ROW($M$5:$M$249)&lt;ROW($M41)))&gt;0,0,1)))</f>
        <v>1</v>
      </c>
      <c r="AA41" s="12" t="n">
        <f aca="false">IF($Z41=1,RANK($AE41,$AE$5:$AE$249,0),"")</f>
        <v>15</v>
      </c>
      <c r="AB41" s="7" t="s">
        <v>153</v>
      </c>
      <c r="AC41" s="6" t="s">
        <v>162</v>
      </c>
      <c r="AD41" s="6" t="s">
        <v>353</v>
      </c>
      <c r="AE41" s="25" t="n">
        <f aca="false">IF($Z41=1,$Y41+$T41/1000000000-ROW()/10000000,"")</f>
        <v>8.00001575</v>
      </c>
    </row>
    <row r="42" customFormat="false" ht="23.85" hidden="false" customHeight="false" outlineLevel="0" collapsed="false">
      <c r="A42" s="7" t="s">
        <v>354</v>
      </c>
      <c r="B42" s="6" t="s">
        <v>355</v>
      </c>
      <c r="C42" s="6" t="s">
        <v>356</v>
      </c>
      <c r="D42" s="7" t="s">
        <v>145</v>
      </c>
      <c r="E42" s="7" t="s">
        <v>349</v>
      </c>
      <c r="F42" s="12" t="s">
        <v>147</v>
      </c>
      <c r="G42" s="13" t="n">
        <v>45909</v>
      </c>
      <c r="H42" s="7" t="s">
        <v>357</v>
      </c>
      <c r="I42" s="6" t="s">
        <v>149</v>
      </c>
      <c r="J42" s="7" t="s">
        <v>60</v>
      </c>
      <c r="K42" s="12"/>
      <c r="L42" s="10" t="s">
        <v>358</v>
      </c>
      <c r="M42" s="7"/>
      <c r="N42" s="12"/>
      <c r="O42" s="12" t="str">
        <f aca="false">IF($M42="","",IF(COUNTIFS('QC listings'!$A$5:$A$200,$M42,'QC listings'!$C$5:$C$200,O$4,'QC listings'!$F$5:$F$200,"Listing page")+COUNTIFS('QC listings'!$A$5:$A$200,$M42,'QC listings'!$C$5:$C$200,O$4,'QC listings'!$F$5:$F$200,"Brand page")&gt;0,"Y",IF(COUNTIFS('QC listings'!$A$5:$A$200,$M42,'QC listings'!$C$5:$C$200,O$4)&gt;0,"?","–")))</f>
        <v/>
      </c>
      <c r="P42" s="12" t="str">
        <f aca="false">IF($M42="","",IF(COUNTIFS('QC listings'!$A$5:$A$200,$M42,'QC listings'!$C$5:$C$200,P$4,'QC listings'!$F$5:$F$200,"Listing page")+COUNTIFS('QC listings'!$A$5:$A$200,$M42,'QC listings'!$C$5:$C$200,P$4,'QC listings'!$F$5:$F$200,"Brand page")&gt;0,"Y",IF(COUNTIFS('QC listings'!$A$5:$A$200,$M42,'QC listings'!$C$5:$C$200,P$4)&gt;0,"?","–")))</f>
        <v/>
      </c>
      <c r="Q42" s="12" t="str">
        <f aca="false">IF($M42="","",IF(COUNTIFS('QC listings'!$A$5:$A$200,$M42,'QC listings'!$C$5:$C$200,Q$4,'QC listings'!$F$5:$F$200,"Listing page")+COUNTIFS('QC listings'!$A$5:$A$200,$M42,'QC listings'!$C$5:$C$200,Q$4,'QC listings'!$F$5:$F$200,"Brand page")&gt;0,"Y",IF(COUNTIFS('QC listings'!$A$5:$A$200,$M42,'QC listings'!$C$5:$C$200,Q$4)&gt;0,"?","–")))</f>
        <v/>
      </c>
      <c r="R42" s="12" t="str">
        <f aca="false">IF($M42="","",IF(COUNTIFS('QC listings'!$A$5:$A$200,$M42,'QC listings'!$C$5:$C$200,R$4,'QC listings'!$F$5:$F$200,"Listing page")+COUNTIFS('QC listings'!$A$5:$A$200,$M42,'QC listings'!$C$5:$C$200,R$4,'QC listings'!$F$5:$F$200,"Brand page")&gt;0,"Y",IF(COUNTIFS('QC listings'!$A$5:$A$200,$M42,'QC listings'!$C$5:$C$200,R$4)&gt;0,"?","–")))</f>
        <v/>
      </c>
      <c r="S42" s="12" t="str">
        <f aca="false">IF($M42="","",COUNTIF(O42:R42,"Y"))</f>
        <v/>
      </c>
      <c r="T42" s="23" t="str">
        <f aca="false">IF($M42="","",SUMPRODUCT(MAX(('QC listings'!$A$5:$A$200=$M42)*'QC listings'!$E$5:$E$200)))</f>
        <v/>
      </c>
      <c r="U42" s="12" t="str">
        <f aca="false">IF($M42="","",IF(T42&gt;=Scoring!$B$11,3,IF(T42&gt;=Scoring!$B$10,2,IF(T42&gt;=Scoring!$B$9,1,0))))</f>
        <v/>
      </c>
      <c r="V42" s="12" t="n">
        <f aca="false">IFERROR(INDEX(Scoring!$B$27:$B$56,MATCH($E42,Scoring!$A$27:$A$56,0)),0)</f>
        <v>0</v>
      </c>
      <c r="W42" s="24" t="n">
        <f aca="false">IF($G42="","",ROUND((Scoring!$B$5-$G42)/30.4375,1))</f>
        <v>12.7</v>
      </c>
      <c r="X42" s="12" t="n">
        <f aca="false">IF($F42="Expired",Scoring!$B$18,IF($G42="",Scoring!$B$17,IF(W42&lt;=Scoring!$B$12,Scoring!$B$13,IF(W42&lt;=Scoring!$B$14,Scoring!$B$15,Scoring!$B$16))))</f>
        <v>1</v>
      </c>
      <c r="Y42" s="15" t="str">
        <f aca="false">IF($M42="","",ROUND((S42*Scoring!$B$6+U42*Scoring!$B$7)*IFERROR(INDEX(Scoring!$B$22:$B$24,MATCH($N42,Scoring!$A$22:$A$24,0)),1)+V42*Scoring!$B$8+X42,2))</f>
        <v/>
      </c>
      <c r="Z42" s="12" t="str">
        <f aca="false">IF($M42="","",IF(SUMPRODUCT(($M$5:$M$249=$M42)*($G$5:$G$249&gt;$G42))&gt;0,0,IF(SUMPRODUCT(($M$5:$M$249=$M42)*($G$5:$G$249=$G42)*(ROW($M$5:$M$249)&lt;ROW($M42)))&gt;0,0,1)))</f>
        <v/>
      </c>
      <c r="AA42" s="12" t="str">
        <f aca="false">IF($Z42=1,RANK($AE42,$AE$5:$AE$249,0),"")</f>
        <v/>
      </c>
      <c r="AB42" s="7" t="s">
        <v>153</v>
      </c>
      <c r="AC42" s="6" t="s">
        <v>154</v>
      </c>
      <c r="AD42" s="6"/>
      <c r="AE42" s="25" t="str">
        <f aca="false">IF($Z42=1,$Y42+$T42/1000000000-ROW()/10000000,"")</f>
        <v/>
      </c>
    </row>
    <row r="43" customFormat="false" ht="23.85" hidden="false" customHeight="false" outlineLevel="0" collapsed="false">
      <c r="A43" s="7" t="s">
        <v>359</v>
      </c>
      <c r="B43" s="6" t="s">
        <v>355</v>
      </c>
      <c r="C43" s="6" t="s">
        <v>360</v>
      </c>
      <c r="D43" s="7" t="s">
        <v>145</v>
      </c>
      <c r="E43" s="7" t="s">
        <v>349</v>
      </c>
      <c r="F43" s="12" t="s">
        <v>201</v>
      </c>
      <c r="G43" s="13"/>
      <c r="H43" s="7"/>
      <c r="I43" s="6" t="s">
        <v>202</v>
      </c>
      <c r="J43" s="7" t="s">
        <v>203</v>
      </c>
      <c r="K43" s="12"/>
      <c r="L43" s="10" t="s">
        <v>361</v>
      </c>
      <c r="M43" s="7"/>
      <c r="N43" s="12"/>
      <c r="O43" s="12" t="str">
        <f aca="false">IF($M43="","",IF(COUNTIFS('QC listings'!$A$5:$A$200,$M43,'QC listings'!$C$5:$C$200,O$4,'QC listings'!$F$5:$F$200,"Listing page")+COUNTIFS('QC listings'!$A$5:$A$200,$M43,'QC listings'!$C$5:$C$200,O$4,'QC listings'!$F$5:$F$200,"Brand page")&gt;0,"Y",IF(COUNTIFS('QC listings'!$A$5:$A$200,$M43,'QC listings'!$C$5:$C$200,O$4)&gt;0,"?","–")))</f>
        <v/>
      </c>
      <c r="P43" s="12" t="str">
        <f aca="false">IF($M43="","",IF(COUNTIFS('QC listings'!$A$5:$A$200,$M43,'QC listings'!$C$5:$C$200,P$4,'QC listings'!$F$5:$F$200,"Listing page")+COUNTIFS('QC listings'!$A$5:$A$200,$M43,'QC listings'!$C$5:$C$200,P$4,'QC listings'!$F$5:$F$200,"Brand page")&gt;0,"Y",IF(COUNTIFS('QC listings'!$A$5:$A$200,$M43,'QC listings'!$C$5:$C$200,P$4)&gt;0,"?","–")))</f>
        <v/>
      </c>
      <c r="Q43" s="12" t="str">
        <f aca="false">IF($M43="","",IF(COUNTIFS('QC listings'!$A$5:$A$200,$M43,'QC listings'!$C$5:$C$200,Q$4,'QC listings'!$F$5:$F$200,"Listing page")+COUNTIFS('QC listings'!$A$5:$A$200,$M43,'QC listings'!$C$5:$C$200,Q$4,'QC listings'!$F$5:$F$200,"Brand page")&gt;0,"Y",IF(COUNTIFS('QC listings'!$A$5:$A$200,$M43,'QC listings'!$C$5:$C$200,Q$4)&gt;0,"?","–")))</f>
        <v/>
      </c>
      <c r="R43" s="12" t="str">
        <f aca="false">IF($M43="","",IF(COUNTIFS('QC listings'!$A$5:$A$200,$M43,'QC listings'!$C$5:$C$200,R$4,'QC listings'!$F$5:$F$200,"Listing page")+COUNTIFS('QC listings'!$A$5:$A$200,$M43,'QC listings'!$C$5:$C$200,R$4,'QC listings'!$F$5:$F$200,"Brand page")&gt;0,"Y",IF(COUNTIFS('QC listings'!$A$5:$A$200,$M43,'QC listings'!$C$5:$C$200,R$4)&gt;0,"?","–")))</f>
        <v/>
      </c>
      <c r="S43" s="12" t="str">
        <f aca="false">IF($M43="","",COUNTIF(O43:R43,"Y"))</f>
        <v/>
      </c>
      <c r="T43" s="23" t="str">
        <f aca="false">IF($M43="","",SUMPRODUCT(MAX(('QC listings'!$A$5:$A$200=$M43)*'QC listings'!$E$5:$E$200)))</f>
        <v/>
      </c>
      <c r="U43" s="12" t="str">
        <f aca="false">IF($M43="","",IF(T43&gt;=Scoring!$B$11,3,IF(T43&gt;=Scoring!$B$10,2,IF(T43&gt;=Scoring!$B$9,1,0))))</f>
        <v/>
      </c>
      <c r="V43" s="12" t="n">
        <f aca="false">IFERROR(INDEX(Scoring!$B$27:$B$56,MATCH($E43,Scoring!$A$27:$A$56,0)),0)</f>
        <v>0</v>
      </c>
      <c r="W43" s="24" t="str">
        <f aca="false">IF($G43="","",ROUND((Scoring!$B$5-$G43)/30.4375,1))</f>
        <v/>
      </c>
      <c r="X43" s="12" t="n">
        <f aca="false">IF($F43="Expired",Scoring!$B$18,IF($G43="",Scoring!$B$17,IF(W43&lt;=Scoring!$B$12,Scoring!$B$13,IF(W43&lt;=Scoring!$B$14,Scoring!$B$15,Scoring!$B$16))))</f>
        <v>1</v>
      </c>
      <c r="Y43" s="15" t="str">
        <f aca="false">IF($M43="","",ROUND((S43*Scoring!$B$6+U43*Scoring!$B$7)*IFERROR(INDEX(Scoring!$B$22:$B$24,MATCH($N43,Scoring!$A$22:$A$24,0)),1)+V43*Scoring!$B$8+X43,2))</f>
        <v/>
      </c>
      <c r="Z43" s="12" t="str">
        <f aca="false">IF($M43="","",IF(SUMPRODUCT(($M$5:$M$249=$M43)*($G$5:$G$249&gt;$G43))&gt;0,0,IF(SUMPRODUCT(($M$5:$M$249=$M43)*($G$5:$G$249=$G43)*(ROW($M$5:$M$249)&lt;ROW($M43)))&gt;0,0,1)))</f>
        <v/>
      </c>
      <c r="AA43" s="12" t="str">
        <f aca="false">IF($Z43=1,RANK($AE43,$AE$5:$AE$249,0),"")</f>
        <v/>
      </c>
      <c r="AB43" s="7" t="s">
        <v>205</v>
      </c>
      <c r="AC43" s="6" t="s">
        <v>206</v>
      </c>
      <c r="AD43" s="6"/>
      <c r="AE43" s="25" t="str">
        <f aca="false">IF($Z43=1,$Y43+$T43/1000000000-ROW()/10000000,"")</f>
        <v/>
      </c>
    </row>
    <row r="44" customFormat="false" ht="23.85" hidden="false" customHeight="false" outlineLevel="0" collapsed="false">
      <c r="A44" s="7" t="s">
        <v>362</v>
      </c>
      <c r="B44" s="6" t="s">
        <v>347</v>
      </c>
      <c r="C44" s="6" t="s">
        <v>363</v>
      </c>
      <c r="D44" s="7" t="s">
        <v>145</v>
      </c>
      <c r="E44" s="7" t="s">
        <v>364</v>
      </c>
      <c r="F44" s="12" t="s">
        <v>158</v>
      </c>
      <c r="G44" s="13" t="n">
        <v>45695</v>
      </c>
      <c r="H44" s="7" t="s">
        <v>365</v>
      </c>
      <c r="I44" s="6" t="s">
        <v>149</v>
      </c>
      <c r="J44" s="7" t="s">
        <v>60</v>
      </c>
      <c r="K44" s="12"/>
      <c r="L44" s="10" t="s">
        <v>366</v>
      </c>
      <c r="M44" s="7" t="s">
        <v>367</v>
      </c>
      <c r="N44" s="12" t="s">
        <v>152</v>
      </c>
      <c r="O44" s="12" t="str">
        <f aca="false">IF($M44="","",IF(COUNTIFS('QC listings'!$A$5:$A$200,$M44,'QC listings'!$C$5:$C$200,O$4,'QC listings'!$F$5:$F$200,"Listing page")+COUNTIFS('QC listings'!$A$5:$A$200,$M44,'QC listings'!$C$5:$C$200,O$4,'QC listings'!$F$5:$F$200,"Brand page")&gt;0,"Y",IF(COUNTIFS('QC listings'!$A$5:$A$200,$M44,'QC listings'!$C$5:$C$200,O$4)&gt;0,"?","–")))</f>
        <v>Y</v>
      </c>
      <c r="P44" s="12" t="str">
        <f aca="false">IF($M44="","",IF(COUNTIFS('QC listings'!$A$5:$A$200,$M44,'QC listings'!$C$5:$C$200,P$4,'QC listings'!$F$5:$F$200,"Listing page")+COUNTIFS('QC listings'!$A$5:$A$200,$M44,'QC listings'!$C$5:$C$200,P$4,'QC listings'!$F$5:$F$200,"Brand page")&gt;0,"Y",IF(COUNTIFS('QC listings'!$A$5:$A$200,$M44,'QC listings'!$C$5:$C$200,P$4)&gt;0,"?","–")))</f>
        <v>Y</v>
      </c>
      <c r="Q44" s="12" t="str">
        <f aca="false">IF($M44="","",IF(COUNTIFS('QC listings'!$A$5:$A$200,$M44,'QC listings'!$C$5:$C$200,Q$4,'QC listings'!$F$5:$F$200,"Listing page")+COUNTIFS('QC listings'!$A$5:$A$200,$M44,'QC listings'!$C$5:$C$200,Q$4,'QC listings'!$F$5:$F$200,"Brand page")&gt;0,"Y",IF(COUNTIFS('QC listings'!$A$5:$A$200,$M44,'QC listings'!$C$5:$C$200,Q$4)&gt;0,"?","–")))</f>
        <v>–</v>
      </c>
      <c r="R44" s="12" t="str">
        <f aca="false">IF($M44="","",IF(COUNTIFS('QC listings'!$A$5:$A$200,$M44,'QC listings'!$C$5:$C$200,R$4,'QC listings'!$F$5:$F$200,"Listing page")+COUNTIFS('QC listings'!$A$5:$A$200,$M44,'QC listings'!$C$5:$C$200,R$4,'QC listings'!$F$5:$F$200,"Brand page")&gt;0,"Y",IF(COUNTIFS('QC listings'!$A$5:$A$200,$M44,'QC listings'!$C$5:$C$200,R$4)&gt;0,"?","–")))</f>
        <v>Y</v>
      </c>
      <c r="S44" s="12" t="n">
        <f aca="false">IF($M44="","",COUNTIF(O44:R44,"Y"))</f>
        <v>3</v>
      </c>
      <c r="T44" s="23" t="n">
        <f aca="false">IF($M44="","",SUMPRODUCT(MAX(('QC listings'!$A$5:$A$200=$M44)*'QC listings'!$E$5:$E$200)))</f>
        <v>24414</v>
      </c>
      <c r="U44" s="12" t="n">
        <f aca="false">IF($M44="","",IF(T44&gt;=Scoring!$B$11,3,IF(T44&gt;=Scoring!$B$10,2,IF(T44&gt;=Scoring!$B$9,1,0))))</f>
        <v>2</v>
      </c>
      <c r="V44" s="12" t="n">
        <f aca="false">IFERROR(INDEX(Scoring!$B$27:$B$56,MATCH($E44,Scoring!$A$27:$A$56,0)),0)</f>
        <v>0</v>
      </c>
      <c r="W44" s="24" t="n">
        <f aca="false">IF($G44="","",ROUND((Scoring!$B$5-$G44)/30.4375,1))</f>
        <v>19.8</v>
      </c>
      <c r="X44" s="12" t="n">
        <f aca="false">IF($F44="Expired",Scoring!$B$18,IF($G44="",Scoring!$B$17,IF(W44&lt;=Scoring!$B$12,Scoring!$B$13,IF(W44&lt;=Scoring!$B$14,Scoring!$B$15,Scoring!$B$16))))</f>
        <v>1</v>
      </c>
      <c r="Y44" s="15" t="n">
        <f aca="false">IF($M44="","",ROUND((S44*Scoring!$B$6+U44*Scoring!$B$7)*IFERROR(INDEX(Scoring!$B$22:$B$24,MATCH($N44,Scoring!$A$22:$A$24,0)),1)+V44*Scoring!$B$8+X44,2))</f>
        <v>8</v>
      </c>
      <c r="Z44" s="12" t="n">
        <f aca="false">IF($M44="","",IF(SUMPRODUCT(($M$5:$M$249=$M44)*($G$5:$G$249&gt;$G44))&gt;0,0,IF(SUMPRODUCT(($M$5:$M$249=$M44)*($G$5:$G$249=$G44)*(ROW($M$5:$M$249)&lt;ROW($M44)))&gt;0,0,1)))</f>
        <v>1</v>
      </c>
      <c r="AA44" s="12" t="n">
        <f aca="false">IF($Z44=1,RANK($AE44,$AE$5:$AE$249,0),"")</f>
        <v>14</v>
      </c>
      <c r="AB44" s="7" t="s">
        <v>153</v>
      </c>
      <c r="AC44" s="6" t="s">
        <v>162</v>
      </c>
      <c r="AD44" s="6" t="s">
        <v>368</v>
      </c>
      <c r="AE44" s="25" t="n">
        <f aca="false">IF($Z44=1,$Y44+$T44/1000000000-ROW()/10000000,"")</f>
        <v>8.000020014</v>
      </c>
    </row>
    <row r="45" customFormat="false" ht="23.85" hidden="false" customHeight="false" outlineLevel="0" collapsed="false">
      <c r="A45" s="7" t="s">
        <v>369</v>
      </c>
      <c r="B45" s="6" t="s">
        <v>370</v>
      </c>
      <c r="C45" s="6" t="s">
        <v>371</v>
      </c>
      <c r="D45" s="7" t="s">
        <v>145</v>
      </c>
      <c r="E45" s="7" t="s">
        <v>364</v>
      </c>
      <c r="F45" s="12" t="s">
        <v>158</v>
      </c>
      <c r="G45" s="13" t="n">
        <v>46121</v>
      </c>
      <c r="H45" s="7" t="s">
        <v>372</v>
      </c>
      <c r="I45" s="6" t="s">
        <v>149</v>
      </c>
      <c r="J45" s="7" t="s">
        <v>60</v>
      </c>
      <c r="K45" s="12"/>
      <c r="L45" s="10" t="s">
        <v>373</v>
      </c>
      <c r="M45" s="7"/>
      <c r="N45" s="12"/>
      <c r="O45" s="12" t="str">
        <f aca="false">IF($M45="","",IF(COUNTIFS('QC listings'!$A$5:$A$200,$M45,'QC listings'!$C$5:$C$200,O$4,'QC listings'!$F$5:$F$200,"Listing page")+COUNTIFS('QC listings'!$A$5:$A$200,$M45,'QC listings'!$C$5:$C$200,O$4,'QC listings'!$F$5:$F$200,"Brand page")&gt;0,"Y",IF(COUNTIFS('QC listings'!$A$5:$A$200,$M45,'QC listings'!$C$5:$C$200,O$4)&gt;0,"?","–")))</f>
        <v/>
      </c>
      <c r="P45" s="12" t="str">
        <f aca="false">IF($M45="","",IF(COUNTIFS('QC listings'!$A$5:$A$200,$M45,'QC listings'!$C$5:$C$200,P$4,'QC listings'!$F$5:$F$200,"Listing page")+COUNTIFS('QC listings'!$A$5:$A$200,$M45,'QC listings'!$C$5:$C$200,P$4,'QC listings'!$F$5:$F$200,"Brand page")&gt;0,"Y",IF(COUNTIFS('QC listings'!$A$5:$A$200,$M45,'QC listings'!$C$5:$C$200,P$4)&gt;0,"?","–")))</f>
        <v/>
      </c>
      <c r="Q45" s="12" t="str">
        <f aca="false">IF($M45="","",IF(COUNTIFS('QC listings'!$A$5:$A$200,$M45,'QC listings'!$C$5:$C$200,Q$4,'QC listings'!$F$5:$F$200,"Listing page")+COUNTIFS('QC listings'!$A$5:$A$200,$M45,'QC listings'!$C$5:$C$200,Q$4,'QC listings'!$F$5:$F$200,"Brand page")&gt;0,"Y",IF(COUNTIFS('QC listings'!$A$5:$A$200,$M45,'QC listings'!$C$5:$C$200,Q$4)&gt;0,"?","–")))</f>
        <v/>
      </c>
      <c r="R45" s="12" t="str">
        <f aca="false">IF($M45="","",IF(COUNTIFS('QC listings'!$A$5:$A$200,$M45,'QC listings'!$C$5:$C$200,R$4,'QC listings'!$F$5:$F$200,"Listing page")+COUNTIFS('QC listings'!$A$5:$A$200,$M45,'QC listings'!$C$5:$C$200,R$4,'QC listings'!$F$5:$F$200,"Brand page")&gt;0,"Y",IF(COUNTIFS('QC listings'!$A$5:$A$200,$M45,'QC listings'!$C$5:$C$200,R$4)&gt;0,"?","–")))</f>
        <v/>
      </c>
      <c r="S45" s="12" t="str">
        <f aca="false">IF($M45="","",COUNTIF(O45:R45,"Y"))</f>
        <v/>
      </c>
      <c r="T45" s="23" t="str">
        <f aca="false">IF($M45="","",SUMPRODUCT(MAX(('QC listings'!$A$5:$A$200=$M45)*'QC listings'!$E$5:$E$200)))</f>
        <v/>
      </c>
      <c r="U45" s="12" t="str">
        <f aca="false">IF($M45="","",IF(T45&gt;=Scoring!$B$11,3,IF(T45&gt;=Scoring!$B$10,2,IF(T45&gt;=Scoring!$B$9,1,0))))</f>
        <v/>
      </c>
      <c r="V45" s="12" t="n">
        <f aca="false">IFERROR(INDEX(Scoring!$B$27:$B$56,MATCH($E45,Scoring!$A$27:$A$56,0)),0)</f>
        <v>0</v>
      </c>
      <c r="W45" s="24" t="n">
        <f aca="false">IF($G45="","",ROUND((Scoring!$B$5-$G45)/30.4375,1))</f>
        <v>5.8</v>
      </c>
      <c r="X45" s="12" t="n">
        <f aca="false">IF($F45="Expired",Scoring!$B$18,IF($G45="",Scoring!$B$17,IF(W45&lt;=Scoring!$B$12,Scoring!$B$13,IF(W45&lt;=Scoring!$B$14,Scoring!$B$15,Scoring!$B$16))))</f>
        <v>2</v>
      </c>
      <c r="Y45" s="15" t="str">
        <f aca="false">IF($M45="","",ROUND((S45*Scoring!$B$6+U45*Scoring!$B$7)*IFERROR(INDEX(Scoring!$B$22:$B$24,MATCH($N45,Scoring!$A$22:$A$24,0)),1)+V45*Scoring!$B$8+X45,2))</f>
        <v/>
      </c>
      <c r="Z45" s="12" t="str">
        <f aca="false">IF($M45="","",IF(SUMPRODUCT(($M$5:$M$249=$M45)*($G$5:$G$249&gt;$G45))&gt;0,0,IF(SUMPRODUCT(($M$5:$M$249=$M45)*($G$5:$G$249=$G45)*(ROW($M$5:$M$249)&lt;ROW($M45)))&gt;0,0,1)))</f>
        <v/>
      </c>
      <c r="AA45" s="12" t="str">
        <f aca="false">IF($Z45=1,RANK($AE45,$AE$5:$AE$249,0),"")</f>
        <v/>
      </c>
      <c r="AB45" s="7" t="s">
        <v>153</v>
      </c>
      <c r="AC45" s="6" t="s">
        <v>162</v>
      </c>
      <c r="AD45" s="6"/>
      <c r="AE45" s="25" t="str">
        <f aca="false">IF($Z45=1,$Y45+$T45/1000000000-ROW()/10000000,"")</f>
        <v/>
      </c>
    </row>
    <row r="46" customFormat="false" ht="23.85" hidden="false" customHeight="false" outlineLevel="0" collapsed="false">
      <c r="A46" s="7" t="s">
        <v>374</v>
      </c>
      <c r="B46" s="6" t="s">
        <v>375</v>
      </c>
      <c r="C46" s="6" t="s">
        <v>363</v>
      </c>
      <c r="D46" s="7" t="s">
        <v>145</v>
      </c>
      <c r="E46" s="7" t="s">
        <v>364</v>
      </c>
      <c r="F46" s="12" t="s">
        <v>147</v>
      </c>
      <c r="G46" s="13" t="n">
        <v>45655</v>
      </c>
      <c r="H46" s="7" t="s">
        <v>376</v>
      </c>
      <c r="I46" s="6" t="s">
        <v>149</v>
      </c>
      <c r="J46" s="7" t="s">
        <v>60</v>
      </c>
      <c r="K46" s="12"/>
      <c r="L46" s="10" t="s">
        <v>377</v>
      </c>
      <c r="M46" s="7"/>
      <c r="N46" s="12"/>
      <c r="O46" s="12" t="str">
        <f aca="false">IF($M46="","",IF(COUNTIFS('QC listings'!$A$5:$A$200,$M46,'QC listings'!$C$5:$C$200,O$4,'QC listings'!$F$5:$F$200,"Listing page")+COUNTIFS('QC listings'!$A$5:$A$200,$M46,'QC listings'!$C$5:$C$200,O$4,'QC listings'!$F$5:$F$200,"Brand page")&gt;0,"Y",IF(COUNTIFS('QC listings'!$A$5:$A$200,$M46,'QC listings'!$C$5:$C$200,O$4)&gt;0,"?","–")))</f>
        <v/>
      </c>
      <c r="P46" s="12" t="str">
        <f aca="false">IF($M46="","",IF(COUNTIFS('QC listings'!$A$5:$A$200,$M46,'QC listings'!$C$5:$C$200,P$4,'QC listings'!$F$5:$F$200,"Listing page")+COUNTIFS('QC listings'!$A$5:$A$200,$M46,'QC listings'!$C$5:$C$200,P$4,'QC listings'!$F$5:$F$200,"Brand page")&gt;0,"Y",IF(COUNTIFS('QC listings'!$A$5:$A$200,$M46,'QC listings'!$C$5:$C$200,P$4)&gt;0,"?","–")))</f>
        <v/>
      </c>
      <c r="Q46" s="12" t="str">
        <f aca="false">IF($M46="","",IF(COUNTIFS('QC listings'!$A$5:$A$200,$M46,'QC listings'!$C$5:$C$200,Q$4,'QC listings'!$F$5:$F$200,"Listing page")+COUNTIFS('QC listings'!$A$5:$A$200,$M46,'QC listings'!$C$5:$C$200,Q$4,'QC listings'!$F$5:$F$200,"Brand page")&gt;0,"Y",IF(COUNTIFS('QC listings'!$A$5:$A$200,$M46,'QC listings'!$C$5:$C$200,Q$4)&gt;0,"?","–")))</f>
        <v/>
      </c>
      <c r="R46" s="12" t="str">
        <f aca="false">IF($M46="","",IF(COUNTIFS('QC listings'!$A$5:$A$200,$M46,'QC listings'!$C$5:$C$200,R$4,'QC listings'!$F$5:$F$200,"Listing page")+COUNTIFS('QC listings'!$A$5:$A$200,$M46,'QC listings'!$C$5:$C$200,R$4,'QC listings'!$F$5:$F$200,"Brand page")&gt;0,"Y",IF(COUNTIFS('QC listings'!$A$5:$A$200,$M46,'QC listings'!$C$5:$C$200,R$4)&gt;0,"?","–")))</f>
        <v/>
      </c>
      <c r="S46" s="12" t="str">
        <f aca="false">IF($M46="","",COUNTIF(O46:R46,"Y"))</f>
        <v/>
      </c>
      <c r="T46" s="23" t="str">
        <f aca="false">IF($M46="","",SUMPRODUCT(MAX(('QC listings'!$A$5:$A$200=$M46)*'QC listings'!$E$5:$E$200)))</f>
        <v/>
      </c>
      <c r="U46" s="12" t="str">
        <f aca="false">IF($M46="","",IF(T46&gt;=Scoring!$B$11,3,IF(T46&gt;=Scoring!$B$10,2,IF(T46&gt;=Scoring!$B$9,1,0))))</f>
        <v/>
      </c>
      <c r="V46" s="12" t="n">
        <f aca="false">IFERROR(INDEX(Scoring!$B$27:$B$56,MATCH($E46,Scoring!$A$27:$A$56,0)),0)</f>
        <v>0</v>
      </c>
      <c r="W46" s="24" t="n">
        <f aca="false">IF($G46="","",ROUND((Scoring!$B$5-$G46)/30.4375,1))</f>
        <v>21.1</v>
      </c>
      <c r="X46" s="12" t="n">
        <f aca="false">IF($F46="Expired",Scoring!$B$18,IF($G46="",Scoring!$B$17,IF(W46&lt;=Scoring!$B$12,Scoring!$B$13,IF(W46&lt;=Scoring!$B$14,Scoring!$B$15,Scoring!$B$16))))</f>
        <v>1</v>
      </c>
      <c r="Y46" s="15" t="str">
        <f aca="false">IF($M46="","",ROUND((S46*Scoring!$B$6+U46*Scoring!$B$7)*IFERROR(INDEX(Scoring!$B$22:$B$24,MATCH($N46,Scoring!$A$22:$A$24,0)),1)+V46*Scoring!$B$8+X46,2))</f>
        <v/>
      </c>
      <c r="Z46" s="12" t="str">
        <f aca="false">IF($M46="","",IF(SUMPRODUCT(($M$5:$M$249=$M46)*($G$5:$G$249&gt;$G46))&gt;0,0,IF(SUMPRODUCT(($M$5:$M$249=$M46)*($G$5:$G$249=$G46)*(ROW($M$5:$M$249)&lt;ROW($M46)))&gt;0,0,1)))</f>
        <v/>
      </c>
      <c r="AA46" s="12" t="str">
        <f aca="false">IF($Z46=1,RANK($AE46,$AE$5:$AE$249,0),"")</f>
        <v/>
      </c>
      <c r="AB46" s="7" t="s">
        <v>153</v>
      </c>
      <c r="AC46" s="6" t="s">
        <v>154</v>
      </c>
      <c r="AD46" s="6"/>
      <c r="AE46" s="25" t="str">
        <f aca="false">IF($Z46=1,$Y46+$T46/1000000000-ROW()/10000000,"")</f>
        <v/>
      </c>
    </row>
    <row r="47" customFormat="false" ht="23.85" hidden="false" customHeight="false" outlineLevel="0" collapsed="false">
      <c r="A47" s="7" t="s">
        <v>378</v>
      </c>
      <c r="B47" s="6" t="s">
        <v>379</v>
      </c>
      <c r="C47" s="6" t="s">
        <v>380</v>
      </c>
      <c r="D47" s="7" t="s">
        <v>145</v>
      </c>
      <c r="E47" s="7" t="s">
        <v>381</v>
      </c>
      <c r="F47" s="12" t="s">
        <v>158</v>
      </c>
      <c r="G47" s="13" t="n">
        <v>45653</v>
      </c>
      <c r="H47" s="7" t="s">
        <v>382</v>
      </c>
      <c r="I47" s="6" t="s">
        <v>149</v>
      </c>
      <c r="J47" s="7" t="s">
        <v>60</v>
      </c>
      <c r="K47" s="12"/>
      <c r="L47" s="10" t="s">
        <v>383</v>
      </c>
      <c r="M47" s="7" t="s">
        <v>384</v>
      </c>
      <c r="N47" s="12" t="s">
        <v>152</v>
      </c>
      <c r="O47" s="12" t="str">
        <f aca="false">IF($M47="","",IF(COUNTIFS('QC listings'!$A$5:$A$200,$M47,'QC listings'!$C$5:$C$200,O$4,'QC listings'!$F$5:$F$200,"Listing page")+COUNTIFS('QC listings'!$A$5:$A$200,$M47,'QC listings'!$C$5:$C$200,O$4,'QC listings'!$F$5:$F$200,"Brand page")&gt;0,"Y",IF(COUNTIFS('QC listings'!$A$5:$A$200,$M47,'QC listings'!$C$5:$C$200,O$4)&gt;0,"?","–")))</f>
        <v>Y</v>
      </c>
      <c r="P47" s="12" t="str">
        <f aca="false">IF($M47="","",IF(COUNTIFS('QC listings'!$A$5:$A$200,$M47,'QC listings'!$C$5:$C$200,P$4,'QC listings'!$F$5:$F$200,"Listing page")+COUNTIFS('QC listings'!$A$5:$A$200,$M47,'QC listings'!$C$5:$C$200,P$4,'QC listings'!$F$5:$F$200,"Brand page")&gt;0,"Y",IF(COUNTIFS('QC listings'!$A$5:$A$200,$M47,'QC listings'!$C$5:$C$200,P$4)&gt;0,"?","–")))</f>
        <v>–</v>
      </c>
      <c r="Q47" s="12" t="str">
        <f aca="false">IF($M47="","",IF(COUNTIFS('QC listings'!$A$5:$A$200,$M47,'QC listings'!$C$5:$C$200,Q$4,'QC listings'!$F$5:$F$200,"Listing page")+COUNTIFS('QC listings'!$A$5:$A$200,$M47,'QC listings'!$C$5:$C$200,Q$4,'QC listings'!$F$5:$F$200,"Brand page")&gt;0,"Y",IF(COUNTIFS('QC listings'!$A$5:$A$200,$M47,'QC listings'!$C$5:$C$200,Q$4)&gt;0,"?","–")))</f>
        <v>Y</v>
      </c>
      <c r="R47" s="12" t="str">
        <f aca="false">IF($M47="","",IF(COUNTIFS('QC listings'!$A$5:$A$200,$M47,'QC listings'!$C$5:$C$200,R$4,'QC listings'!$F$5:$F$200,"Listing page")+COUNTIFS('QC listings'!$A$5:$A$200,$M47,'QC listings'!$C$5:$C$200,R$4,'QC listings'!$F$5:$F$200,"Brand page")&gt;0,"Y",IF(COUNTIFS('QC listings'!$A$5:$A$200,$M47,'QC listings'!$C$5:$C$200,R$4)&gt;0,"?","–")))</f>
        <v>Y</v>
      </c>
      <c r="S47" s="12" t="n">
        <f aca="false">IF($M47="","",COUNTIF(O47:R47,"Y"))</f>
        <v>3</v>
      </c>
      <c r="T47" s="23" t="n">
        <f aca="false">IF($M47="","",SUMPRODUCT(MAX(('QC listings'!$A$5:$A$200=$M47)*'QC listings'!$E$5:$E$200)))</f>
        <v>0</v>
      </c>
      <c r="U47" s="12" t="n">
        <f aca="false">IF($M47="","",IF(T47&gt;=Scoring!$B$11,3,IF(T47&gt;=Scoring!$B$10,2,IF(T47&gt;=Scoring!$B$9,1,0))))</f>
        <v>0</v>
      </c>
      <c r="V47" s="12" t="n">
        <f aca="false">IFERROR(INDEX(Scoring!$B$27:$B$56,MATCH($E47,Scoring!$A$27:$A$56,0)),0)</f>
        <v>0</v>
      </c>
      <c r="W47" s="24" t="n">
        <f aca="false">IF($G47="","",ROUND((Scoring!$B$5-$G47)/30.4375,1))</f>
        <v>21.2</v>
      </c>
      <c r="X47" s="12" t="n">
        <f aca="false">IF($F47="Expired",Scoring!$B$18,IF($G47="",Scoring!$B$17,IF(W47&lt;=Scoring!$B$12,Scoring!$B$13,IF(W47&lt;=Scoring!$B$14,Scoring!$B$15,Scoring!$B$16))))</f>
        <v>1</v>
      </c>
      <c r="Y47" s="15" t="n">
        <f aca="false">IF($M47="","",ROUND((S47*Scoring!$B$6+U47*Scoring!$B$7)*IFERROR(INDEX(Scoring!$B$22:$B$24,MATCH($N47,Scoring!$A$22:$A$24,0)),1)+V47*Scoring!$B$8+X47,2))</f>
        <v>4</v>
      </c>
      <c r="Z47" s="12" t="n">
        <f aca="false">IF($M47="","",IF(SUMPRODUCT(($M$5:$M$249=$M47)*($G$5:$G$249&gt;$G47))&gt;0,0,IF(SUMPRODUCT(($M$5:$M$249=$M47)*($G$5:$G$249=$G47)*(ROW($M$5:$M$249)&lt;ROW($M47)))&gt;0,0,1)))</f>
        <v>1</v>
      </c>
      <c r="AA47" s="12" t="n">
        <f aca="false">IF($Z47=1,RANK($AE47,$AE$5:$AE$249,0),"")</f>
        <v>25</v>
      </c>
      <c r="AB47" s="7" t="s">
        <v>153</v>
      </c>
      <c r="AC47" s="6" t="s">
        <v>162</v>
      </c>
      <c r="AD47" s="6" t="s">
        <v>385</v>
      </c>
      <c r="AE47" s="25" t="n">
        <f aca="false">IF($Z47=1,$Y47+$T47/1000000000-ROW()/10000000,"")</f>
        <v>3.9999953</v>
      </c>
    </row>
    <row r="48" customFormat="false" ht="23.85" hidden="false" customHeight="false" outlineLevel="0" collapsed="false">
      <c r="A48" s="7" t="s">
        <v>386</v>
      </c>
      <c r="B48" s="6" t="s">
        <v>387</v>
      </c>
      <c r="C48" s="6" t="s">
        <v>388</v>
      </c>
      <c r="D48" s="7" t="s">
        <v>145</v>
      </c>
      <c r="E48" s="7" t="s">
        <v>389</v>
      </c>
      <c r="F48" s="12" t="s">
        <v>147</v>
      </c>
      <c r="G48" s="13" t="n">
        <v>46110</v>
      </c>
      <c r="H48" s="7" t="s">
        <v>390</v>
      </c>
      <c r="I48" s="6" t="s">
        <v>149</v>
      </c>
      <c r="J48" s="7" t="s">
        <v>60</v>
      </c>
      <c r="K48" s="12"/>
      <c r="L48" s="10" t="s">
        <v>391</v>
      </c>
      <c r="M48" s="7"/>
      <c r="N48" s="12"/>
      <c r="O48" s="12" t="str">
        <f aca="false">IF($M48="","",IF(COUNTIFS('QC listings'!$A$5:$A$200,$M48,'QC listings'!$C$5:$C$200,O$4,'QC listings'!$F$5:$F$200,"Listing page")+COUNTIFS('QC listings'!$A$5:$A$200,$M48,'QC listings'!$C$5:$C$200,O$4,'QC listings'!$F$5:$F$200,"Brand page")&gt;0,"Y",IF(COUNTIFS('QC listings'!$A$5:$A$200,$M48,'QC listings'!$C$5:$C$200,O$4)&gt;0,"?","–")))</f>
        <v/>
      </c>
      <c r="P48" s="12" t="str">
        <f aca="false">IF($M48="","",IF(COUNTIFS('QC listings'!$A$5:$A$200,$M48,'QC listings'!$C$5:$C$200,P$4,'QC listings'!$F$5:$F$200,"Listing page")+COUNTIFS('QC listings'!$A$5:$A$200,$M48,'QC listings'!$C$5:$C$200,P$4,'QC listings'!$F$5:$F$200,"Brand page")&gt;0,"Y",IF(COUNTIFS('QC listings'!$A$5:$A$200,$M48,'QC listings'!$C$5:$C$200,P$4)&gt;0,"?","–")))</f>
        <v/>
      </c>
      <c r="Q48" s="12" t="str">
        <f aca="false">IF($M48="","",IF(COUNTIFS('QC listings'!$A$5:$A$200,$M48,'QC listings'!$C$5:$C$200,Q$4,'QC listings'!$F$5:$F$200,"Listing page")+COUNTIFS('QC listings'!$A$5:$A$200,$M48,'QC listings'!$C$5:$C$200,Q$4,'QC listings'!$F$5:$F$200,"Brand page")&gt;0,"Y",IF(COUNTIFS('QC listings'!$A$5:$A$200,$M48,'QC listings'!$C$5:$C$200,Q$4)&gt;0,"?","–")))</f>
        <v/>
      </c>
      <c r="R48" s="12" t="str">
        <f aca="false">IF($M48="","",IF(COUNTIFS('QC listings'!$A$5:$A$200,$M48,'QC listings'!$C$5:$C$200,R$4,'QC listings'!$F$5:$F$200,"Listing page")+COUNTIFS('QC listings'!$A$5:$A$200,$M48,'QC listings'!$C$5:$C$200,R$4,'QC listings'!$F$5:$F$200,"Brand page")&gt;0,"Y",IF(COUNTIFS('QC listings'!$A$5:$A$200,$M48,'QC listings'!$C$5:$C$200,R$4)&gt;0,"?","–")))</f>
        <v/>
      </c>
      <c r="S48" s="12" t="str">
        <f aca="false">IF($M48="","",COUNTIF(O48:R48,"Y"))</f>
        <v/>
      </c>
      <c r="T48" s="23" t="str">
        <f aca="false">IF($M48="","",SUMPRODUCT(MAX(('QC listings'!$A$5:$A$200=$M48)*'QC listings'!$E$5:$E$200)))</f>
        <v/>
      </c>
      <c r="U48" s="12" t="str">
        <f aca="false">IF($M48="","",IF(T48&gt;=Scoring!$B$11,3,IF(T48&gt;=Scoring!$B$10,2,IF(T48&gt;=Scoring!$B$9,1,0))))</f>
        <v/>
      </c>
      <c r="V48" s="12" t="n">
        <f aca="false">IFERROR(INDEX(Scoring!$B$27:$B$56,MATCH($E48,Scoring!$A$27:$A$56,0)),0)</f>
        <v>0</v>
      </c>
      <c r="W48" s="24" t="n">
        <f aca="false">IF($G48="","",ROUND((Scoring!$B$5-$G48)/30.4375,1))</f>
        <v>6.1</v>
      </c>
      <c r="X48" s="12" t="n">
        <f aca="false">IF($F48="Expired",Scoring!$B$18,IF($G48="",Scoring!$B$17,IF(W48&lt;=Scoring!$B$12,Scoring!$B$13,IF(W48&lt;=Scoring!$B$14,Scoring!$B$15,Scoring!$B$16))))</f>
        <v>2</v>
      </c>
      <c r="Y48" s="15" t="str">
        <f aca="false">IF($M48="","",ROUND((S48*Scoring!$B$6+U48*Scoring!$B$7)*IFERROR(INDEX(Scoring!$B$22:$B$24,MATCH($N48,Scoring!$A$22:$A$24,0)),1)+V48*Scoring!$B$8+X48,2))</f>
        <v/>
      </c>
      <c r="Z48" s="12" t="str">
        <f aca="false">IF($M48="","",IF(SUMPRODUCT(($M$5:$M$249=$M48)*($G$5:$G$249&gt;$G48))&gt;0,0,IF(SUMPRODUCT(($M$5:$M$249=$M48)*($G$5:$G$249=$G48)*(ROW($M$5:$M$249)&lt;ROW($M48)))&gt;0,0,1)))</f>
        <v/>
      </c>
      <c r="AA48" s="12" t="str">
        <f aca="false">IF($Z48=1,RANK($AE48,$AE$5:$AE$249,0),"")</f>
        <v/>
      </c>
      <c r="AB48" s="7" t="s">
        <v>153</v>
      </c>
      <c r="AC48" s="6" t="s">
        <v>154</v>
      </c>
      <c r="AD48" s="6"/>
      <c r="AE48" s="25" t="str">
        <f aca="false">IF($Z48=1,$Y48+$T48/1000000000-ROW()/10000000,"")</f>
        <v/>
      </c>
    </row>
    <row r="49" customFormat="false" ht="23.85" hidden="false" customHeight="false" outlineLevel="0" collapsed="false">
      <c r="A49" s="7" t="s">
        <v>392</v>
      </c>
      <c r="B49" s="6" t="s">
        <v>387</v>
      </c>
      <c r="C49" s="6" t="s">
        <v>393</v>
      </c>
      <c r="D49" s="7" t="s">
        <v>145</v>
      </c>
      <c r="E49" s="7" t="s">
        <v>389</v>
      </c>
      <c r="F49" s="12" t="s">
        <v>147</v>
      </c>
      <c r="G49" s="13" t="n">
        <v>46110</v>
      </c>
      <c r="H49" s="7" t="s">
        <v>394</v>
      </c>
      <c r="I49" s="6" t="s">
        <v>149</v>
      </c>
      <c r="J49" s="7" t="s">
        <v>60</v>
      </c>
      <c r="K49" s="12"/>
      <c r="L49" s="10" t="s">
        <v>395</v>
      </c>
      <c r="M49" s="7"/>
      <c r="N49" s="12"/>
      <c r="O49" s="12" t="str">
        <f aca="false">IF($M49="","",IF(COUNTIFS('QC listings'!$A$5:$A$200,$M49,'QC listings'!$C$5:$C$200,O$4,'QC listings'!$F$5:$F$200,"Listing page")+COUNTIFS('QC listings'!$A$5:$A$200,$M49,'QC listings'!$C$5:$C$200,O$4,'QC listings'!$F$5:$F$200,"Brand page")&gt;0,"Y",IF(COUNTIFS('QC listings'!$A$5:$A$200,$M49,'QC listings'!$C$5:$C$200,O$4)&gt;0,"?","–")))</f>
        <v/>
      </c>
      <c r="P49" s="12" t="str">
        <f aca="false">IF($M49="","",IF(COUNTIFS('QC listings'!$A$5:$A$200,$M49,'QC listings'!$C$5:$C$200,P$4,'QC listings'!$F$5:$F$200,"Listing page")+COUNTIFS('QC listings'!$A$5:$A$200,$M49,'QC listings'!$C$5:$C$200,P$4,'QC listings'!$F$5:$F$200,"Brand page")&gt;0,"Y",IF(COUNTIFS('QC listings'!$A$5:$A$200,$M49,'QC listings'!$C$5:$C$200,P$4)&gt;0,"?","–")))</f>
        <v/>
      </c>
      <c r="Q49" s="12" t="str">
        <f aca="false">IF($M49="","",IF(COUNTIFS('QC listings'!$A$5:$A$200,$M49,'QC listings'!$C$5:$C$200,Q$4,'QC listings'!$F$5:$F$200,"Listing page")+COUNTIFS('QC listings'!$A$5:$A$200,$M49,'QC listings'!$C$5:$C$200,Q$4,'QC listings'!$F$5:$F$200,"Brand page")&gt;0,"Y",IF(COUNTIFS('QC listings'!$A$5:$A$200,$M49,'QC listings'!$C$5:$C$200,Q$4)&gt;0,"?","–")))</f>
        <v/>
      </c>
      <c r="R49" s="12" t="str">
        <f aca="false">IF($M49="","",IF(COUNTIFS('QC listings'!$A$5:$A$200,$M49,'QC listings'!$C$5:$C$200,R$4,'QC listings'!$F$5:$F$200,"Listing page")+COUNTIFS('QC listings'!$A$5:$A$200,$M49,'QC listings'!$C$5:$C$200,R$4,'QC listings'!$F$5:$F$200,"Brand page")&gt;0,"Y",IF(COUNTIFS('QC listings'!$A$5:$A$200,$M49,'QC listings'!$C$5:$C$200,R$4)&gt;0,"?","–")))</f>
        <v/>
      </c>
      <c r="S49" s="12" t="str">
        <f aca="false">IF($M49="","",COUNTIF(O49:R49,"Y"))</f>
        <v/>
      </c>
      <c r="T49" s="23" t="str">
        <f aca="false">IF($M49="","",SUMPRODUCT(MAX(('QC listings'!$A$5:$A$200=$M49)*'QC listings'!$E$5:$E$200)))</f>
        <v/>
      </c>
      <c r="U49" s="12" t="str">
        <f aca="false">IF($M49="","",IF(T49&gt;=Scoring!$B$11,3,IF(T49&gt;=Scoring!$B$10,2,IF(T49&gt;=Scoring!$B$9,1,0))))</f>
        <v/>
      </c>
      <c r="V49" s="12" t="n">
        <f aca="false">IFERROR(INDEX(Scoring!$B$27:$B$56,MATCH($E49,Scoring!$A$27:$A$56,0)),0)</f>
        <v>0</v>
      </c>
      <c r="W49" s="24" t="n">
        <f aca="false">IF($G49="","",ROUND((Scoring!$B$5-$G49)/30.4375,1))</f>
        <v>6.1</v>
      </c>
      <c r="X49" s="12" t="n">
        <f aca="false">IF($F49="Expired",Scoring!$B$18,IF($G49="",Scoring!$B$17,IF(W49&lt;=Scoring!$B$12,Scoring!$B$13,IF(W49&lt;=Scoring!$B$14,Scoring!$B$15,Scoring!$B$16))))</f>
        <v>2</v>
      </c>
      <c r="Y49" s="15" t="str">
        <f aca="false">IF($M49="","",ROUND((S49*Scoring!$B$6+U49*Scoring!$B$7)*IFERROR(INDEX(Scoring!$B$22:$B$24,MATCH($N49,Scoring!$A$22:$A$24,0)),1)+V49*Scoring!$B$8+X49,2))</f>
        <v/>
      </c>
      <c r="Z49" s="12" t="str">
        <f aca="false">IF($M49="","",IF(SUMPRODUCT(($M$5:$M$249=$M49)*($G$5:$G$249&gt;$G49))&gt;0,0,IF(SUMPRODUCT(($M$5:$M$249=$M49)*($G$5:$G$249=$G49)*(ROW($M$5:$M$249)&lt;ROW($M49)))&gt;0,0,1)))</f>
        <v/>
      </c>
      <c r="AA49" s="12" t="str">
        <f aca="false">IF($Z49=1,RANK($AE49,$AE$5:$AE$249,0),"")</f>
        <v/>
      </c>
      <c r="AB49" s="7" t="s">
        <v>153</v>
      </c>
      <c r="AC49" s="6" t="s">
        <v>154</v>
      </c>
      <c r="AD49" s="6"/>
      <c r="AE49" s="25" t="str">
        <f aca="false">IF($Z49=1,$Y49+$T49/1000000000-ROW()/10000000,"")</f>
        <v/>
      </c>
    </row>
    <row r="50" customFormat="false" ht="23.85" hidden="false" customHeight="false" outlineLevel="0" collapsed="false">
      <c r="A50" s="7" t="s">
        <v>396</v>
      </c>
      <c r="B50" s="6" t="s">
        <v>397</v>
      </c>
      <c r="C50" s="6" t="s">
        <v>398</v>
      </c>
      <c r="D50" s="7" t="s">
        <v>145</v>
      </c>
      <c r="E50" s="7" t="s">
        <v>389</v>
      </c>
      <c r="F50" s="12" t="s">
        <v>147</v>
      </c>
      <c r="G50" s="13" t="n">
        <v>46082</v>
      </c>
      <c r="H50" s="7" t="s">
        <v>399</v>
      </c>
      <c r="I50" s="6" t="s">
        <v>149</v>
      </c>
      <c r="J50" s="7" t="s">
        <v>60</v>
      </c>
      <c r="K50" s="12"/>
      <c r="L50" s="10" t="s">
        <v>400</v>
      </c>
      <c r="M50" s="7"/>
      <c r="N50" s="12"/>
      <c r="O50" s="12" t="str">
        <f aca="false">IF($M50="","",IF(COUNTIFS('QC listings'!$A$5:$A$200,$M50,'QC listings'!$C$5:$C$200,O$4,'QC listings'!$F$5:$F$200,"Listing page")+COUNTIFS('QC listings'!$A$5:$A$200,$M50,'QC listings'!$C$5:$C$200,O$4,'QC listings'!$F$5:$F$200,"Brand page")&gt;0,"Y",IF(COUNTIFS('QC listings'!$A$5:$A$200,$M50,'QC listings'!$C$5:$C$200,O$4)&gt;0,"?","–")))</f>
        <v/>
      </c>
      <c r="P50" s="12" t="str">
        <f aca="false">IF($M50="","",IF(COUNTIFS('QC listings'!$A$5:$A$200,$M50,'QC listings'!$C$5:$C$200,P$4,'QC listings'!$F$5:$F$200,"Listing page")+COUNTIFS('QC listings'!$A$5:$A$200,$M50,'QC listings'!$C$5:$C$200,P$4,'QC listings'!$F$5:$F$200,"Brand page")&gt;0,"Y",IF(COUNTIFS('QC listings'!$A$5:$A$200,$M50,'QC listings'!$C$5:$C$200,P$4)&gt;0,"?","–")))</f>
        <v/>
      </c>
      <c r="Q50" s="12" t="str">
        <f aca="false">IF($M50="","",IF(COUNTIFS('QC listings'!$A$5:$A$200,$M50,'QC listings'!$C$5:$C$200,Q$4,'QC listings'!$F$5:$F$200,"Listing page")+COUNTIFS('QC listings'!$A$5:$A$200,$M50,'QC listings'!$C$5:$C$200,Q$4,'QC listings'!$F$5:$F$200,"Brand page")&gt;0,"Y",IF(COUNTIFS('QC listings'!$A$5:$A$200,$M50,'QC listings'!$C$5:$C$200,Q$4)&gt;0,"?","–")))</f>
        <v/>
      </c>
      <c r="R50" s="12" t="str">
        <f aca="false">IF($M50="","",IF(COUNTIFS('QC listings'!$A$5:$A$200,$M50,'QC listings'!$C$5:$C$200,R$4,'QC listings'!$F$5:$F$200,"Listing page")+COUNTIFS('QC listings'!$A$5:$A$200,$M50,'QC listings'!$C$5:$C$200,R$4,'QC listings'!$F$5:$F$200,"Brand page")&gt;0,"Y",IF(COUNTIFS('QC listings'!$A$5:$A$200,$M50,'QC listings'!$C$5:$C$200,R$4)&gt;0,"?","–")))</f>
        <v/>
      </c>
      <c r="S50" s="12" t="str">
        <f aca="false">IF($M50="","",COUNTIF(O50:R50,"Y"))</f>
        <v/>
      </c>
      <c r="T50" s="23" t="str">
        <f aca="false">IF($M50="","",SUMPRODUCT(MAX(('QC listings'!$A$5:$A$200=$M50)*'QC listings'!$E$5:$E$200)))</f>
        <v/>
      </c>
      <c r="U50" s="12" t="str">
        <f aca="false">IF($M50="","",IF(T50&gt;=Scoring!$B$11,3,IF(T50&gt;=Scoring!$B$10,2,IF(T50&gt;=Scoring!$B$9,1,0))))</f>
        <v/>
      </c>
      <c r="V50" s="12" t="n">
        <f aca="false">IFERROR(INDEX(Scoring!$B$27:$B$56,MATCH($E50,Scoring!$A$27:$A$56,0)),0)</f>
        <v>0</v>
      </c>
      <c r="W50" s="24" t="n">
        <f aca="false">IF($G50="","",ROUND((Scoring!$B$5-$G50)/30.4375,1))</f>
        <v>7.1</v>
      </c>
      <c r="X50" s="12" t="n">
        <f aca="false">IF($F50="Expired",Scoring!$B$18,IF($G50="",Scoring!$B$17,IF(W50&lt;=Scoring!$B$12,Scoring!$B$13,IF(W50&lt;=Scoring!$B$14,Scoring!$B$15,Scoring!$B$16))))</f>
        <v>2</v>
      </c>
      <c r="Y50" s="15" t="str">
        <f aca="false">IF($M50="","",ROUND((S50*Scoring!$B$6+U50*Scoring!$B$7)*IFERROR(INDEX(Scoring!$B$22:$B$24,MATCH($N50,Scoring!$A$22:$A$24,0)),1)+V50*Scoring!$B$8+X50,2))</f>
        <v/>
      </c>
      <c r="Z50" s="12" t="str">
        <f aca="false">IF($M50="","",IF(SUMPRODUCT(($M$5:$M$249=$M50)*($G$5:$G$249&gt;$G50))&gt;0,0,IF(SUMPRODUCT(($M$5:$M$249=$M50)*($G$5:$G$249=$G50)*(ROW($M$5:$M$249)&lt;ROW($M50)))&gt;0,0,1)))</f>
        <v/>
      </c>
      <c r="AA50" s="12" t="str">
        <f aca="false">IF($Z50=1,RANK($AE50,$AE$5:$AE$249,0),"")</f>
        <v/>
      </c>
      <c r="AB50" s="7" t="s">
        <v>153</v>
      </c>
      <c r="AC50" s="6" t="s">
        <v>154</v>
      </c>
      <c r="AD50" s="6"/>
      <c r="AE50" s="25" t="str">
        <f aca="false">IF($Z50=1,$Y50+$T50/1000000000-ROW()/10000000,"")</f>
        <v/>
      </c>
    </row>
    <row r="51" customFormat="false" ht="23.85" hidden="false" customHeight="false" outlineLevel="0" collapsed="false">
      <c r="A51" s="7" t="s">
        <v>401</v>
      </c>
      <c r="B51" s="6" t="s">
        <v>397</v>
      </c>
      <c r="C51" s="6" t="s">
        <v>402</v>
      </c>
      <c r="D51" s="7" t="s">
        <v>145</v>
      </c>
      <c r="E51" s="7" t="s">
        <v>389</v>
      </c>
      <c r="F51" s="12" t="s">
        <v>147</v>
      </c>
      <c r="G51" s="13" t="n">
        <v>46082</v>
      </c>
      <c r="H51" s="7" t="s">
        <v>403</v>
      </c>
      <c r="I51" s="6" t="s">
        <v>149</v>
      </c>
      <c r="J51" s="7" t="s">
        <v>60</v>
      </c>
      <c r="K51" s="12"/>
      <c r="L51" s="10" t="s">
        <v>404</v>
      </c>
      <c r="M51" s="7" t="s">
        <v>405</v>
      </c>
      <c r="N51" s="12" t="s">
        <v>152</v>
      </c>
      <c r="O51" s="12" t="str">
        <f aca="false">IF($M51="","",IF(COUNTIFS('QC listings'!$A$5:$A$200,$M51,'QC listings'!$C$5:$C$200,O$4,'QC listings'!$F$5:$F$200,"Listing page")+COUNTIFS('QC listings'!$A$5:$A$200,$M51,'QC listings'!$C$5:$C$200,O$4,'QC listings'!$F$5:$F$200,"Brand page")&gt;0,"Y",IF(COUNTIFS('QC listings'!$A$5:$A$200,$M51,'QC listings'!$C$5:$C$200,O$4)&gt;0,"?","–")))</f>
        <v>–</v>
      </c>
      <c r="P51" s="12" t="str">
        <f aca="false">IF($M51="","",IF(COUNTIFS('QC listings'!$A$5:$A$200,$M51,'QC listings'!$C$5:$C$200,P$4,'QC listings'!$F$5:$F$200,"Listing page")+COUNTIFS('QC listings'!$A$5:$A$200,$M51,'QC listings'!$C$5:$C$200,P$4,'QC listings'!$F$5:$F$200,"Brand page")&gt;0,"Y",IF(COUNTIFS('QC listings'!$A$5:$A$200,$M51,'QC listings'!$C$5:$C$200,P$4)&gt;0,"?","–")))</f>
        <v>Y</v>
      </c>
      <c r="Q51" s="12" t="str">
        <f aca="false">IF($M51="","",IF(COUNTIFS('QC listings'!$A$5:$A$200,$M51,'QC listings'!$C$5:$C$200,Q$4,'QC listings'!$F$5:$F$200,"Listing page")+COUNTIFS('QC listings'!$A$5:$A$200,$M51,'QC listings'!$C$5:$C$200,Q$4,'QC listings'!$F$5:$F$200,"Brand page")&gt;0,"Y",IF(COUNTIFS('QC listings'!$A$5:$A$200,$M51,'QC listings'!$C$5:$C$200,Q$4)&gt;0,"?","–")))</f>
        <v>Y</v>
      </c>
      <c r="R51" s="12" t="str">
        <f aca="false">IF($M51="","",IF(COUNTIFS('QC listings'!$A$5:$A$200,$M51,'QC listings'!$C$5:$C$200,R$4,'QC listings'!$F$5:$F$200,"Listing page")+COUNTIFS('QC listings'!$A$5:$A$200,$M51,'QC listings'!$C$5:$C$200,R$4,'QC listings'!$F$5:$F$200,"Brand page")&gt;0,"Y",IF(COUNTIFS('QC listings'!$A$5:$A$200,$M51,'QC listings'!$C$5:$C$200,R$4)&gt;0,"?","–")))</f>
        <v>Y</v>
      </c>
      <c r="S51" s="12" t="n">
        <f aca="false">IF($M51="","",COUNTIF(O51:R51,"Y"))</f>
        <v>3</v>
      </c>
      <c r="T51" s="23" t="n">
        <f aca="false">IF($M51="","",SUMPRODUCT(MAX(('QC listings'!$A$5:$A$200=$M51)*'QC listings'!$E$5:$E$200)))</f>
        <v>22802</v>
      </c>
      <c r="U51" s="12" t="n">
        <f aca="false">IF($M51="","",IF(T51&gt;=Scoring!$B$11,3,IF(T51&gt;=Scoring!$B$10,2,IF(T51&gt;=Scoring!$B$9,1,0))))</f>
        <v>2</v>
      </c>
      <c r="V51" s="12" t="n">
        <f aca="false">IFERROR(INDEX(Scoring!$B$27:$B$56,MATCH($E51,Scoring!$A$27:$A$56,0)),0)</f>
        <v>0</v>
      </c>
      <c r="W51" s="24" t="n">
        <f aca="false">IF($G51="","",ROUND((Scoring!$B$5-$G51)/30.4375,1))</f>
        <v>7.1</v>
      </c>
      <c r="X51" s="12" t="n">
        <f aca="false">IF($F51="Expired",Scoring!$B$18,IF($G51="",Scoring!$B$17,IF(W51&lt;=Scoring!$B$12,Scoring!$B$13,IF(W51&lt;=Scoring!$B$14,Scoring!$B$15,Scoring!$B$16))))</f>
        <v>2</v>
      </c>
      <c r="Y51" s="15" t="n">
        <f aca="false">IF($M51="","",ROUND((S51*Scoring!$B$6+U51*Scoring!$B$7)*IFERROR(INDEX(Scoring!$B$22:$B$24,MATCH($N51,Scoring!$A$22:$A$24,0)),1)+V51*Scoring!$B$8+X51,2))</f>
        <v>9</v>
      </c>
      <c r="Z51" s="12" t="n">
        <f aca="false">IF($M51="","",IF(SUMPRODUCT(($M$5:$M$249=$M51)*($G$5:$G$249&gt;$G51))&gt;0,0,IF(SUMPRODUCT(($M$5:$M$249=$M51)*($G$5:$G$249=$G51)*(ROW($M$5:$M$249)&lt;ROW($M51)))&gt;0,0,1)))</f>
        <v>1</v>
      </c>
      <c r="AA51" s="12" t="n">
        <f aca="false">IF($Z51=1,RANK($AE51,$AE$5:$AE$249,0),"")</f>
        <v>13</v>
      </c>
      <c r="AB51" s="7" t="s">
        <v>153</v>
      </c>
      <c r="AC51" s="6" t="s">
        <v>154</v>
      </c>
      <c r="AD51" s="6" t="s">
        <v>339</v>
      </c>
      <c r="AE51" s="25" t="n">
        <f aca="false">IF($Z51=1,$Y51+$T51/1000000000-ROW()/10000000,"")</f>
        <v>9.000017702</v>
      </c>
    </row>
    <row r="52" customFormat="false" ht="23.85" hidden="false" customHeight="false" outlineLevel="0" collapsed="false">
      <c r="A52" s="7" t="s">
        <v>406</v>
      </c>
      <c r="B52" s="6" t="s">
        <v>397</v>
      </c>
      <c r="C52" s="6" t="s">
        <v>407</v>
      </c>
      <c r="D52" s="7" t="s">
        <v>145</v>
      </c>
      <c r="E52" s="7" t="s">
        <v>389</v>
      </c>
      <c r="F52" s="12" t="s">
        <v>147</v>
      </c>
      <c r="G52" s="13" t="n">
        <v>46082</v>
      </c>
      <c r="H52" s="7" t="s">
        <v>408</v>
      </c>
      <c r="I52" s="6" t="s">
        <v>149</v>
      </c>
      <c r="J52" s="7" t="s">
        <v>60</v>
      </c>
      <c r="K52" s="12"/>
      <c r="L52" s="10" t="s">
        <v>409</v>
      </c>
      <c r="M52" s="7"/>
      <c r="N52" s="12"/>
      <c r="O52" s="12" t="str">
        <f aca="false">IF($M52="","",IF(COUNTIFS('QC listings'!$A$5:$A$200,$M52,'QC listings'!$C$5:$C$200,O$4,'QC listings'!$F$5:$F$200,"Listing page")+COUNTIFS('QC listings'!$A$5:$A$200,$M52,'QC listings'!$C$5:$C$200,O$4,'QC listings'!$F$5:$F$200,"Brand page")&gt;0,"Y",IF(COUNTIFS('QC listings'!$A$5:$A$200,$M52,'QC listings'!$C$5:$C$200,O$4)&gt;0,"?","–")))</f>
        <v/>
      </c>
      <c r="P52" s="12" t="str">
        <f aca="false">IF($M52="","",IF(COUNTIFS('QC listings'!$A$5:$A$200,$M52,'QC listings'!$C$5:$C$200,P$4,'QC listings'!$F$5:$F$200,"Listing page")+COUNTIFS('QC listings'!$A$5:$A$200,$M52,'QC listings'!$C$5:$C$200,P$4,'QC listings'!$F$5:$F$200,"Brand page")&gt;0,"Y",IF(COUNTIFS('QC listings'!$A$5:$A$200,$M52,'QC listings'!$C$5:$C$200,P$4)&gt;0,"?","–")))</f>
        <v/>
      </c>
      <c r="Q52" s="12" t="str">
        <f aca="false">IF($M52="","",IF(COUNTIFS('QC listings'!$A$5:$A$200,$M52,'QC listings'!$C$5:$C$200,Q$4,'QC listings'!$F$5:$F$200,"Listing page")+COUNTIFS('QC listings'!$A$5:$A$200,$M52,'QC listings'!$C$5:$C$200,Q$4,'QC listings'!$F$5:$F$200,"Brand page")&gt;0,"Y",IF(COUNTIFS('QC listings'!$A$5:$A$200,$M52,'QC listings'!$C$5:$C$200,Q$4)&gt;0,"?","–")))</f>
        <v/>
      </c>
      <c r="R52" s="12" t="str">
        <f aca="false">IF($M52="","",IF(COUNTIFS('QC listings'!$A$5:$A$200,$M52,'QC listings'!$C$5:$C$200,R$4,'QC listings'!$F$5:$F$200,"Listing page")+COUNTIFS('QC listings'!$A$5:$A$200,$M52,'QC listings'!$C$5:$C$200,R$4,'QC listings'!$F$5:$F$200,"Brand page")&gt;0,"Y",IF(COUNTIFS('QC listings'!$A$5:$A$200,$M52,'QC listings'!$C$5:$C$200,R$4)&gt;0,"?","–")))</f>
        <v/>
      </c>
      <c r="S52" s="12" t="str">
        <f aca="false">IF($M52="","",COUNTIF(O52:R52,"Y"))</f>
        <v/>
      </c>
      <c r="T52" s="23" t="str">
        <f aca="false">IF($M52="","",SUMPRODUCT(MAX(('QC listings'!$A$5:$A$200=$M52)*'QC listings'!$E$5:$E$200)))</f>
        <v/>
      </c>
      <c r="U52" s="12" t="str">
        <f aca="false">IF($M52="","",IF(T52&gt;=Scoring!$B$11,3,IF(T52&gt;=Scoring!$B$10,2,IF(T52&gt;=Scoring!$B$9,1,0))))</f>
        <v/>
      </c>
      <c r="V52" s="12" t="n">
        <f aca="false">IFERROR(INDEX(Scoring!$B$27:$B$56,MATCH($E52,Scoring!$A$27:$A$56,0)),0)</f>
        <v>0</v>
      </c>
      <c r="W52" s="24" t="n">
        <f aca="false">IF($G52="","",ROUND((Scoring!$B$5-$G52)/30.4375,1))</f>
        <v>7.1</v>
      </c>
      <c r="X52" s="12" t="n">
        <f aca="false">IF($F52="Expired",Scoring!$B$18,IF($G52="",Scoring!$B$17,IF(W52&lt;=Scoring!$B$12,Scoring!$B$13,IF(W52&lt;=Scoring!$B$14,Scoring!$B$15,Scoring!$B$16))))</f>
        <v>2</v>
      </c>
      <c r="Y52" s="15" t="str">
        <f aca="false">IF($M52="","",ROUND((S52*Scoring!$B$6+U52*Scoring!$B$7)*IFERROR(INDEX(Scoring!$B$22:$B$24,MATCH($N52,Scoring!$A$22:$A$24,0)),1)+V52*Scoring!$B$8+X52,2))</f>
        <v/>
      </c>
      <c r="Z52" s="12" t="str">
        <f aca="false">IF($M52="","",IF(SUMPRODUCT(($M$5:$M$249=$M52)*($G$5:$G$249&gt;$G52))&gt;0,0,IF(SUMPRODUCT(($M$5:$M$249=$M52)*($G$5:$G$249=$G52)*(ROW($M$5:$M$249)&lt;ROW($M52)))&gt;0,0,1)))</f>
        <v/>
      </c>
      <c r="AA52" s="12" t="str">
        <f aca="false">IF($Z52=1,RANK($AE52,$AE$5:$AE$249,0),"")</f>
        <v/>
      </c>
      <c r="AB52" s="7" t="s">
        <v>153</v>
      </c>
      <c r="AC52" s="6" t="s">
        <v>154</v>
      </c>
      <c r="AD52" s="6"/>
      <c r="AE52" s="25" t="str">
        <f aca="false">IF($Z52=1,$Y52+$T52/1000000000-ROW()/10000000,"")</f>
        <v/>
      </c>
    </row>
    <row r="53" customFormat="false" ht="23.85" hidden="false" customHeight="false" outlineLevel="0" collapsed="false">
      <c r="A53" s="7" t="s">
        <v>410</v>
      </c>
      <c r="B53" s="6" t="s">
        <v>397</v>
      </c>
      <c r="C53" s="6" t="s">
        <v>411</v>
      </c>
      <c r="D53" s="7" t="s">
        <v>145</v>
      </c>
      <c r="E53" s="7" t="s">
        <v>389</v>
      </c>
      <c r="F53" s="12" t="s">
        <v>147</v>
      </c>
      <c r="G53" s="13" t="n">
        <v>46082</v>
      </c>
      <c r="H53" s="7" t="s">
        <v>412</v>
      </c>
      <c r="I53" s="6" t="s">
        <v>149</v>
      </c>
      <c r="J53" s="7" t="s">
        <v>60</v>
      </c>
      <c r="K53" s="12"/>
      <c r="L53" s="10" t="s">
        <v>413</v>
      </c>
      <c r="M53" s="7"/>
      <c r="N53" s="12"/>
      <c r="O53" s="12" t="str">
        <f aca="false">IF($M53="","",IF(COUNTIFS('QC listings'!$A$5:$A$200,$M53,'QC listings'!$C$5:$C$200,O$4,'QC listings'!$F$5:$F$200,"Listing page")+COUNTIFS('QC listings'!$A$5:$A$200,$M53,'QC listings'!$C$5:$C$200,O$4,'QC listings'!$F$5:$F$200,"Brand page")&gt;0,"Y",IF(COUNTIFS('QC listings'!$A$5:$A$200,$M53,'QC listings'!$C$5:$C$200,O$4)&gt;0,"?","–")))</f>
        <v/>
      </c>
      <c r="P53" s="12" t="str">
        <f aca="false">IF($M53="","",IF(COUNTIFS('QC listings'!$A$5:$A$200,$M53,'QC listings'!$C$5:$C$200,P$4,'QC listings'!$F$5:$F$200,"Listing page")+COUNTIFS('QC listings'!$A$5:$A$200,$M53,'QC listings'!$C$5:$C$200,P$4,'QC listings'!$F$5:$F$200,"Brand page")&gt;0,"Y",IF(COUNTIFS('QC listings'!$A$5:$A$200,$M53,'QC listings'!$C$5:$C$200,P$4)&gt;0,"?","–")))</f>
        <v/>
      </c>
      <c r="Q53" s="12" t="str">
        <f aca="false">IF($M53="","",IF(COUNTIFS('QC listings'!$A$5:$A$200,$M53,'QC listings'!$C$5:$C$200,Q$4,'QC listings'!$F$5:$F$200,"Listing page")+COUNTIFS('QC listings'!$A$5:$A$200,$M53,'QC listings'!$C$5:$C$200,Q$4,'QC listings'!$F$5:$F$200,"Brand page")&gt;0,"Y",IF(COUNTIFS('QC listings'!$A$5:$A$200,$M53,'QC listings'!$C$5:$C$200,Q$4)&gt;0,"?","–")))</f>
        <v/>
      </c>
      <c r="R53" s="12" t="str">
        <f aca="false">IF($M53="","",IF(COUNTIFS('QC listings'!$A$5:$A$200,$M53,'QC listings'!$C$5:$C$200,R$4,'QC listings'!$F$5:$F$200,"Listing page")+COUNTIFS('QC listings'!$A$5:$A$200,$M53,'QC listings'!$C$5:$C$200,R$4,'QC listings'!$F$5:$F$200,"Brand page")&gt;0,"Y",IF(COUNTIFS('QC listings'!$A$5:$A$200,$M53,'QC listings'!$C$5:$C$200,R$4)&gt;0,"?","–")))</f>
        <v/>
      </c>
      <c r="S53" s="12" t="str">
        <f aca="false">IF($M53="","",COUNTIF(O53:R53,"Y"))</f>
        <v/>
      </c>
      <c r="T53" s="23" t="str">
        <f aca="false">IF($M53="","",SUMPRODUCT(MAX(('QC listings'!$A$5:$A$200=$M53)*'QC listings'!$E$5:$E$200)))</f>
        <v/>
      </c>
      <c r="U53" s="12" t="str">
        <f aca="false">IF($M53="","",IF(T53&gt;=Scoring!$B$11,3,IF(T53&gt;=Scoring!$B$10,2,IF(T53&gt;=Scoring!$B$9,1,0))))</f>
        <v/>
      </c>
      <c r="V53" s="12" t="n">
        <f aca="false">IFERROR(INDEX(Scoring!$B$27:$B$56,MATCH($E53,Scoring!$A$27:$A$56,0)),0)</f>
        <v>0</v>
      </c>
      <c r="W53" s="24" t="n">
        <f aca="false">IF($G53="","",ROUND((Scoring!$B$5-$G53)/30.4375,1))</f>
        <v>7.1</v>
      </c>
      <c r="X53" s="12" t="n">
        <f aca="false">IF($F53="Expired",Scoring!$B$18,IF($G53="",Scoring!$B$17,IF(W53&lt;=Scoring!$B$12,Scoring!$B$13,IF(W53&lt;=Scoring!$B$14,Scoring!$B$15,Scoring!$B$16))))</f>
        <v>2</v>
      </c>
      <c r="Y53" s="15" t="str">
        <f aca="false">IF($M53="","",ROUND((S53*Scoring!$B$6+U53*Scoring!$B$7)*IFERROR(INDEX(Scoring!$B$22:$B$24,MATCH($N53,Scoring!$A$22:$A$24,0)),1)+V53*Scoring!$B$8+X53,2))</f>
        <v/>
      </c>
      <c r="Z53" s="12" t="str">
        <f aca="false">IF($M53="","",IF(SUMPRODUCT(($M$5:$M$249=$M53)*($G$5:$G$249&gt;$G53))&gt;0,0,IF(SUMPRODUCT(($M$5:$M$249=$M53)*($G$5:$G$249=$G53)*(ROW($M$5:$M$249)&lt;ROW($M53)))&gt;0,0,1)))</f>
        <v/>
      </c>
      <c r="AA53" s="12" t="str">
        <f aca="false">IF($Z53=1,RANK($AE53,$AE$5:$AE$249,0),"")</f>
        <v/>
      </c>
      <c r="AB53" s="7" t="s">
        <v>153</v>
      </c>
      <c r="AC53" s="6" t="s">
        <v>154</v>
      </c>
      <c r="AD53" s="6"/>
      <c r="AE53" s="25" t="str">
        <f aca="false">IF($Z53=1,$Y53+$T53/1000000000-ROW()/10000000,"")</f>
        <v/>
      </c>
    </row>
    <row r="54" customFormat="false" ht="23.85" hidden="false" customHeight="false" outlineLevel="0" collapsed="false">
      <c r="A54" s="7" t="s">
        <v>414</v>
      </c>
      <c r="B54" s="6" t="s">
        <v>415</v>
      </c>
      <c r="C54" s="6" t="s">
        <v>416</v>
      </c>
      <c r="D54" s="7" t="s">
        <v>145</v>
      </c>
      <c r="E54" s="7" t="s">
        <v>389</v>
      </c>
      <c r="F54" s="12" t="s">
        <v>158</v>
      </c>
      <c r="G54" s="13" t="n">
        <v>46068</v>
      </c>
      <c r="H54" s="7" t="s">
        <v>417</v>
      </c>
      <c r="I54" s="6" t="s">
        <v>149</v>
      </c>
      <c r="J54" s="7" t="s">
        <v>60</v>
      </c>
      <c r="K54" s="12"/>
      <c r="L54" s="10" t="s">
        <v>418</v>
      </c>
      <c r="M54" s="7" t="s">
        <v>419</v>
      </c>
      <c r="N54" s="12" t="s">
        <v>152</v>
      </c>
      <c r="O54" s="12" t="str">
        <f aca="false">IF($M54="","",IF(COUNTIFS('QC listings'!$A$5:$A$200,$M54,'QC listings'!$C$5:$C$200,O$4,'QC listings'!$F$5:$F$200,"Listing page")+COUNTIFS('QC listings'!$A$5:$A$200,$M54,'QC listings'!$C$5:$C$200,O$4,'QC listings'!$F$5:$F$200,"Brand page")&gt;0,"Y",IF(COUNTIFS('QC listings'!$A$5:$A$200,$M54,'QC listings'!$C$5:$C$200,O$4)&gt;0,"?","–")))</f>
        <v>Y</v>
      </c>
      <c r="P54" s="12" t="str">
        <f aca="false">IF($M54="","",IF(COUNTIFS('QC listings'!$A$5:$A$200,$M54,'QC listings'!$C$5:$C$200,P$4,'QC listings'!$F$5:$F$200,"Listing page")+COUNTIFS('QC listings'!$A$5:$A$200,$M54,'QC listings'!$C$5:$C$200,P$4,'QC listings'!$F$5:$F$200,"Brand page")&gt;0,"Y",IF(COUNTIFS('QC listings'!$A$5:$A$200,$M54,'QC listings'!$C$5:$C$200,P$4)&gt;0,"?","–")))</f>
        <v>Y</v>
      </c>
      <c r="Q54" s="12" t="str">
        <f aca="false">IF($M54="","",IF(COUNTIFS('QC listings'!$A$5:$A$200,$M54,'QC listings'!$C$5:$C$200,Q$4,'QC listings'!$F$5:$F$200,"Listing page")+COUNTIFS('QC listings'!$A$5:$A$200,$M54,'QC listings'!$C$5:$C$200,Q$4,'QC listings'!$F$5:$F$200,"Brand page")&gt;0,"Y",IF(COUNTIFS('QC listings'!$A$5:$A$200,$M54,'QC listings'!$C$5:$C$200,Q$4)&gt;0,"?","–")))</f>
        <v>Y</v>
      </c>
      <c r="R54" s="12" t="str">
        <f aca="false">IF($M54="","",IF(COUNTIFS('QC listings'!$A$5:$A$200,$M54,'QC listings'!$C$5:$C$200,R$4,'QC listings'!$F$5:$F$200,"Listing page")+COUNTIFS('QC listings'!$A$5:$A$200,$M54,'QC listings'!$C$5:$C$200,R$4,'QC listings'!$F$5:$F$200,"Brand page")&gt;0,"Y",IF(COUNTIFS('QC listings'!$A$5:$A$200,$M54,'QC listings'!$C$5:$C$200,R$4)&gt;0,"?","–")))</f>
        <v>Y</v>
      </c>
      <c r="S54" s="12" t="n">
        <f aca="false">IF($M54="","",COUNTIF(O54:R54,"Y"))</f>
        <v>4</v>
      </c>
      <c r="T54" s="23" t="n">
        <f aca="false">IF($M54="","",SUMPRODUCT(MAX(('QC listings'!$A$5:$A$200=$M54)*'QC listings'!$E$5:$E$200)))</f>
        <v>94808</v>
      </c>
      <c r="U54" s="12" t="n">
        <f aca="false">IF($M54="","",IF(T54&gt;=Scoring!$B$11,3,IF(T54&gt;=Scoring!$B$10,2,IF(T54&gt;=Scoring!$B$9,1,0))))</f>
        <v>2</v>
      </c>
      <c r="V54" s="12" t="n">
        <f aca="false">IFERROR(INDEX(Scoring!$B$27:$B$56,MATCH($E54,Scoring!$A$27:$A$56,0)),0)</f>
        <v>0</v>
      </c>
      <c r="W54" s="24" t="n">
        <f aca="false">IF($G54="","",ROUND((Scoring!$B$5-$G54)/30.4375,1))</f>
        <v>7.5</v>
      </c>
      <c r="X54" s="12" t="n">
        <f aca="false">IF($F54="Expired",Scoring!$B$18,IF($G54="",Scoring!$B$17,IF(W54&lt;=Scoring!$B$12,Scoring!$B$13,IF(W54&lt;=Scoring!$B$14,Scoring!$B$15,Scoring!$B$16))))</f>
        <v>2</v>
      </c>
      <c r="Y54" s="15" t="n">
        <f aca="false">IF($M54="","",ROUND((S54*Scoring!$B$6+U54*Scoring!$B$7)*IFERROR(INDEX(Scoring!$B$22:$B$24,MATCH($N54,Scoring!$A$22:$A$24,0)),1)+V54*Scoring!$B$8+X54,2))</f>
        <v>10</v>
      </c>
      <c r="Z54" s="12" t="n">
        <f aca="false">IF($M54="","",IF(SUMPRODUCT(($M$5:$M$249=$M54)*($G$5:$G$249&gt;$G54))&gt;0,0,IF(SUMPRODUCT(($M$5:$M$249=$M54)*($G$5:$G$249=$G54)*(ROW($M$5:$M$249)&lt;ROW($M54)))&gt;0,0,1)))</f>
        <v>1</v>
      </c>
      <c r="AA54" s="12" t="n">
        <f aca="false">IF($Z54=1,RANK($AE54,$AE$5:$AE$249,0),"")</f>
        <v>9</v>
      </c>
      <c r="AB54" s="7" t="s">
        <v>153</v>
      </c>
      <c r="AC54" s="6" t="s">
        <v>162</v>
      </c>
      <c r="AD54" s="6"/>
      <c r="AE54" s="25" t="n">
        <f aca="false">IF($Z54=1,$Y54+$T54/1000000000-ROW()/10000000,"")</f>
        <v>10.000089408</v>
      </c>
    </row>
    <row r="55" customFormat="false" ht="23.85" hidden="false" customHeight="false" outlineLevel="0" collapsed="false">
      <c r="A55" s="7" t="s">
        <v>420</v>
      </c>
      <c r="B55" s="6" t="s">
        <v>421</v>
      </c>
      <c r="C55" s="6" t="s">
        <v>422</v>
      </c>
      <c r="D55" s="7" t="s">
        <v>145</v>
      </c>
      <c r="E55" s="7" t="s">
        <v>389</v>
      </c>
      <c r="F55" s="12" t="s">
        <v>147</v>
      </c>
      <c r="G55" s="13" t="n">
        <v>46229</v>
      </c>
      <c r="H55" s="7" t="s">
        <v>423</v>
      </c>
      <c r="I55" s="6" t="s">
        <v>149</v>
      </c>
      <c r="J55" s="7" t="s">
        <v>60</v>
      </c>
      <c r="K55" s="12"/>
      <c r="L55" s="10" t="s">
        <v>424</v>
      </c>
      <c r="M55" s="7"/>
      <c r="N55" s="12"/>
      <c r="O55" s="12" t="str">
        <f aca="false">IF($M55="","",IF(COUNTIFS('QC listings'!$A$5:$A$200,$M55,'QC listings'!$C$5:$C$200,O$4,'QC listings'!$F$5:$F$200,"Listing page")+COUNTIFS('QC listings'!$A$5:$A$200,$M55,'QC listings'!$C$5:$C$200,O$4,'QC listings'!$F$5:$F$200,"Brand page")&gt;0,"Y",IF(COUNTIFS('QC listings'!$A$5:$A$200,$M55,'QC listings'!$C$5:$C$200,O$4)&gt;0,"?","–")))</f>
        <v/>
      </c>
      <c r="P55" s="12" t="str">
        <f aca="false">IF($M55="","",IF(COUNTIFS('QC listings'!$A$5:$A$200,$M55,'QC listings'!$C$5:$C$200,P$4,'QC listings'!$F$5:$F$200,"Listing page")+COUNTIFS('QC listings'!$A$5:$A$200,$M55,'QC listings'!$C$5:$C$200,P$4,'QC listings'!$F$5:$F$200,"Brand page")&gt;0,"Y",IF(COUNTIFS('QC listings'!$A$5:$A$200,$M55,'QC listings'!$C$5:$C$200,P$4)&gt;0,"?","–")))</f>
        <v/>
      </c>
      <c r="Q55" s="12" t="str">
        <f aca="false">IF($M55="","",IF(COUNTIFS('QC listings'!$A$5:$A$200,$M55,'QC listings'!$C$5:$C$200,Q$4,'QC listings'!$F$5:$F$200,"Listing page")+COUNTIFS('QC listings'!$A$5:$A$200,$M55,'QC listings'!$C$5:$C$200,Q$4,'QC listings'!$F$5:$F$200,"Brand page")&gt;0,"Y",IF(COUNTIFS('QC listings'!$A$5:$A$200,$M55,'QC listings'!$C$5:$C$200,Q$4)&gt;0,"?","–")))</f>
        <v/>
      </c>
      <c r="R55" s="12" t="str">
        <f aca="false">IF($M55="","",IF(COUNTIFS('QC listings'!$A$5:$A$200,$M55,'QC listings'!$C$5:$C$200,R$4,'QC listings'!$F$5:$F$200,"Listing page")+COUNTIFS('QC listings'!$A$5:$A$200,$M55,'QC listings'!$C$5:$C$200,R$4,'QC listings'!$F$5:$F$200,"Brand page")&gt;0,"Y",IF(COUNTIFS('QC listings'!$A$5:$A$200,$M55,'QC listings'!$C$5:$C$200,R$4)&gt;0,"?","–")))</f>
        <v/>
      </c>
      <c r="S55" s="12" t="str">
        <f aca="false">IF($M55="","",COUNTIF(O55:R55,"Y"))</f>
        <v/>
      </c>
      <c r="T55" s="23" t="str">
        <f aca="false">IF($M55="","",SUMPRODUCT(MAX(('QC listings'!$A$5:$A$200=$M55)*'QC listings'!$E$5:$E$200)))</f>
        <v/>
      </c>
      <c r="U55" s="12" t="str">
        <f aca="false">IF($M55="","",IF(T55&gt;=Scoring!$B$11,3,IF(T55&gt;=Scoring!$B$10,2,IF(T55&gt;=Scoring!$B$9,1,0))))</f>
        <v/>
      </c>
      <c r="V55" s="12" t="n">
        <f aca="false">IFERROR(INDEX(Scoring!$B$27:$B$56,MATCH($E55,Scoring!$A$27:$A$56,0)),0)</f>
        <v>0</v>
      </c>
      <c r="W55" s="24" t="n">
        <f aca="false">IF($G55="","",ROUND((Scoring!$B$5-$G55)/30.4375,1))</f>
        <v>2.2</v>
      </c>
      <c r="X55" s="12" t="n">
        <f aca="false">IF($F55="Expired",Scoring!$B$18,IF($G55="",Scoring!$B$17,IF(W55&lt;=Scoring!$B$12,Scoring!$B$13,IF(W55&lt;=Scoring!$B$14,Scoring!$B$15,Scoring!$B$16))))</f>
        <v>2</v>
      </c>
      <c r="Y55" s="15" t="str">
        <f aca="false">IF($M55="","",ROUND((S55*Scoring!$B$6+U55*Scoring!$B$7)*IFERROR(INDEX(Scoring!$B$22:$B$24,MATCH($N55,Scoring!$A$22:$A$24,0)),1)+V55*Scoring!$B$8+X55,2))</f>
        <v/>
      </c>
      <c r="Z55" s="12" t="str">
        <f aca="false">IF($M55="","",IF(SUMPRODUCT(($M$5:$M$249=$M55)*($G$5:$G$249&gt;$G55))&gt;0,0,IF(SUMPRODUCT(($M$5:$M$249=$M55)*($G$5:$G$249=$G55)*(ROW($M$5:$M$249)&lt;ROW($M55)))&gt;0,0,1)))</f>
        <v/>
      </c>
      <c r="AA55" s="12" t="str">
        <f aca="false">IF($Z55=1,RANK($AE55,$AE$5:$AE$249,0),"")</f>
        <v/>
      </c>
      <c r="AB55" s="7" t="s">
        <v>153</v>
      </c>
      <c r="AC55" s="6" t="s">
        <v>154</v>
      </c>
      <c r="AD55" s="6"/>
      <c r="AE55" s="25" t="str">
        <f aca="false">IF($Z55=1,$Y55+$T55/1000000000-ROW()/10000000,"")</f>
        <v/>
      </c>
    </row>
    <row r="56" customFormat="false" ht="23.85" hidden="false" customHeight="false" outlineLevel="0" collapsed="false">
      <c r="A56" s="7" t="s">
        <v>425</v>
      </c>
      <c r="B56" s="6" t="s">
        <v>421</v>
      </c>
      <c r="C56" s="6" t="s">
        <v>426</v>
      </c>
      <c r="D56" s="7" t="s">
        <v>145</v>
      </c>
      <c r="E56" s="7" t="s">
        <v>389</v>
      </c>
      <c r="F56" s="12" t="s">
        <v>147</v>
      </c>
      <c r="G56" s="13" t="n">
        <v>46229</v>
      </c>
      <c r="H56" s="7" t="s">
        <v>427</v>
      </c>
      <c r="I56" s="6" t="s">
        <v>149</v>
      </c>
      <c r="J56" s="7" t="s">
        <v>60</v>
      </c>
      <c r="K56" s="12"/>
      <c r="L56" s="10" t="s">
        <v>428</v>
      </c>
      <c r="M56" s="7"/>
      <c r="N56" s="12"/>
      <c r="O56" s="12" t="str">
        <f aca="false">IF($M56="","",IF(COUNTIFS('QC listings'!$A$5:$A$200,$M56,'QC listings'!$C$5:$C$200,O$4,'QC listings'!$F$5:$F$200,"Listing page")+COUNTIFS('QC listings'!$A$5:$A$200,$M56,'QC listings'!$C$5:$C$200,O$4,'QC listings'!$F$5:$F$200,"Brand page")&gt;0,"Y",IF(COUNTIFS('QC listings'!$A$5:$A$200,$M56,'QC listings'!$C$5:$C$200,O$4)&gt;0,"?","–")))</f>
        <v/>
      </c>
      <c r="P56" s="12" t="str">
        <f aca="false">IF($M56="","",IF(COUNTIFS('QC listings'!$A$5:$A$200,$M56,'QC listings'!$C$5:$C$200,P$4,'QC listings'!$F$5:$F$200,"Listing page")+COUNTIFS('QC listings'!$A$5:$A$200,$M56,'QC listings'!$C$5:$C$200,P$4,'QC listings'!$F$5:$F$200,"Brand page")&gt;0,"Y",IF(COUNTIFS('QC listings'!$A$5:$A$200,$M56,'QC listings'!$C$5:$C$200,P$4)&gt;0,"?","–")))</f>
        <v/>
      </c>
      <c r="Q56" s="12" t="str">
        <f aca="false">IF($M56="","",IF(COUNTIFS('QC listings'!$A$5:$A$200,$M56,'QC listings'!$C$5:$C$200,Q$4,'QC listings'!$F$5:$F$200,"Listing page")+COUNTIFS('QC listings'!$A$5:$A$200,$M56,'QC listings'!$C$5:$C$200,Q$4,'QC listings'!$F$5:$F$200,"Brand page")&gt;0,"Y",IF(COUNTIFS('QC listings'!$A$5:$A$200,$M56,'QC listings'!$C$5:$C$200,Q$4)&gt;0,"?","–")))</f>
        <v/>
      </c>
      <c r="R56" s="12" t="str">
        <f aca="false">IF($M56="","",IF(COUNTIFS('QC listings'!$A$5:$A$200,$M56,'QC listings'!$C$5:$C$200,R$4,'QC listings'!$F$5:$F$200,"Listing page")+COUNTIFS('QC listings'!$A$5:$A$200,$M56,'QC listings'!$C$5:$C$200,R$4,'QC listings'!$F$5:$F$200,"Brand page")&gt;0,"Y",IF(COUNTIFS('QC listings'!$A$5:$A$200,$M56,'QC listings'!$C$5:$C$200,R$4)&gt;0,"?","–")))</f>
        <v/>
      </c>
      <c r="S56" s="12" t="str">
        <f aca="false">IF($M56="","",COUNTIF(O56:R56,"Y"))</f>
        <v/>
      </c>
      <c r="T56" s="23" t="str">
        <f aca="false">IF($M56="","",SUMPRODUCT(MAX(('QC listings'!$A$5:$A$200=$M56)*'QC listings'!$E$5:$E$200)))</f>
        <v/>
      </c>
      <c r="U56" s="12" t="str">
        <f aca="false">IF($M56="","",IF(T56&gt;=Scoring!$B$11,3,IF(T56&gt;=Scoring!$B$10,2,IF(T56&gt;=Scoring!$B$9,1,0))))</f>
        <v/>
      </c>
      <c r="V56" s="12" t="n">
        <f aca="false">IFERROR(INDEX(Scoring!$B$27:$B$56,MATCH($E56,Scoring!$A$27:$A$56,0)),0)</f>
        <v>0</v>
      </c>
      <c r="W56" s="24" t="n">
        <f aca="false">IF($G56="","",ROUND((Scoring!$B$5-$G56)/30.4375,1))</f>
        <v>2.2</v>
      </c>
      <c r="X56" s="12" t="n">
        <f aca="false">IF($F56="Expired",Scoring!$B$18,IF($G56="",Scoring!$B$17,IF(W56&lt;=Scoring!$B$12,Scoring!$B$13,IF(W56&lt;=Scoring!$B$14,Scoring!$B$15,Scoring!$B$16))))</f>
        <v>2</v>
      </c>
      <c r="Y56" s="15" t="str">
        <f aca="false">IF($M56="","",ROUND((S56*Scoring!$B$6+U56*Scoring!$B$7)*IFERROR(INDEX(Scoring!$B$22:$B$24,MATCH($N56,Scoring!$A$22:$A$24,0)),1)+V56*Scoring!$B$8+X56,2))</f>
        <v/>
      </c>
      <c r="Z56" s="12" t="str">
        <f aca="false">IF($M56="","",IF(SUMPRODUCT(($M$5:$M$249=$M56)*($G$5:$G$249&gt;$G56))&gt;0,0,IF(SUMPRODUCT(($M$5:$M$249=$M56)*($G$5:$G$249=$G56)*(ROW($M$5:$M$249)&lt;ROW($M56)))&gt;0,0,1)))</f>
        <v/>
      </c>
      <c r="AA56" s="12" t="str">
        <f aca="false">IF($Z56=1,RANK($AE56,$AE$5:$AE$249,0),"")</f>
        <v/>
      </c>
      <c r="AB56" s="7" t="s">
        <v>153</v>
      </c>
      <c r="AC56" s="6" t="s">
        <v>154</v>
      </c>
      <c r="AD56" s="6"/>
      <c r="AE56" s="25" t="str">
        <f aca="false">IF($Z56=1,$Y56+$T56/1000000000-ROW()/10000000,"")</f>
        <v/>
      </c>
    </row>
    <row r="57" customFormat="false" ht="23.85" hidden="false" customHeight="false" outlineLevel="0" collapsed="false">
      <c r="A57" s="7" t="s">
        <v>429</v>
      </c>
      <c r="B57" s="6" t="s">
        <v>421</v>
      </c>
      <c r="C57" s="6" t="s">
        <v>430</v>
      </c>
      <c r="D57" s="7" t="s">
        <v>145</v>
      </c>
      <c r="E57" s="7" t="s">
        <v>389</v>
      </c>
      <c r="F57" s="12" t="s">
        <v>147</v>
      </c>
      <c r="G57" s="13" t="n">
        <v>46229</v>
      </c>
      <c r="H57" s="7" t="s">
        <v>431</v>
      </c>
      <c r="I57" s="6" t="s">
        <v>149</v>
      </c>
      <c r="J57" s="7" t="s">
        <v>60</v>
      </c>
      <c r="K57" s="12"/>
      <c r="L57" s="10" t="s">
        <v>432</v>
      </c>
      <c r="M57" s="7" t="s">
        <v>433</v>
      </c>
      <c r="N57" s="12" t="s">
        <v>152</v>
      </c>
      <c r="O57" s="12" t="str">
        <f aca="false">IF($M57="","",IF(COUNTIFS('QC listings'!$A$5:$A$200,$M57,'QC listings'!$C$5:$C$200,O$4,'QC listings'!$F$5:$F$200,"Listing page")+COUNTIFS('QC listings'!$A$5:$A$200,$M57,'QC listings'!$C$5:$C$200,O$4,'QC listings'!$F$5:$F$200,"Brand page")&gt;0,"Y",IF(COUNTIFS('QC listings'!$A$5:$A$200,$M57,'QC listings'!$C$5:$C$200,O$4)&gt;0,"?","–")))</f>
        <v>Y</v>
      </c>
      <c r="P57" s="12" t="str">
        <f aca="false">IF($M57="","",IF(COUNTIFS('QC listings'!$A$5:$A$200,$M57,'QC listings'!$C$5:$C$200,P$4,'QC listings'!$F$5:$F$200,"Listing page")+COUNTIFS('QC listings'!$A$5:$A$200,$M57,'QC listings'!$C$5:$C$200,P$4,'QC listings'!$F$5:$F$200,"Brand page")&gt;0,"Y",IF(COUNTIFS('QC listings'!$A$5:$A$200,$M57,'QC listings'!$C$5:$C$200,P$4)&gt;0,"?","–")))</f>
        <v>Y</v>
      </c>
      <c r="Q57" s="12" t="str">
        <f aca="false">IF($M57="","",IF(COUNTIFS('QC listings'!$A$5:$A$200,$M57,'QC listings'!$C$5:$C$200,Q$4,'QC listings'!$F$5:$F$200,"Listing page")+COUNTIFS('QC listings'!$A$5:$A$200,$M57,'QC listings'!$C$5:$C$200,Q$4,'QC listings'!$F$5:$F$200,"Brand page")&gt;0,"Y",IF(COUNTIFS('QC listings'!$A$5:$A$200,$M57,'QC listings'!$C$5:$C$200,Q$4)&gt;0,"?","–")))</f>
        <v>–</v>
      </c>
      <c r="R57" s="12" t="str">
        <f aca="false">IF($M57="","",IF(COUNTIFS('QC listings'!$A$5:$A$200,$M57,'QC listings'!$C$5:$C$200,R$4,'QC listings'!$F$5:$F$200,"Listing page")+COUNTIFS('QC listings'!$A$5:$A$200,$M57,'QC listings'!$C$5:$C$200,R$4,'QC listings'!$F$5:$F$200,"Brand page")&gt;0,"Y",IF(COUNTIFS('QC listings'!$A$5:$A$200,$M57,'QC listings'!$C$5:$C$200,R$4)&gt;0,"?","–")))</f>
        <v>Y</v>
      </c>
      <c r="S57" s="12" t="n">
        <f aca="false">IF($M57="","",COUNTIF(O57:R57,"Y"))</f>
        <v>3</v>
      </c>
      <c r="T57" s="23" t="n">
        <f aca="false">IF($M57="","",SUMPRODUCT(MAX(('QC listings'!$A$5:$A$200=$M57)*'QC listings'!$E$5:$E$200)))</f>
        <v>9428</v>
      </c>
      <c r="U57" s="12" t="n">
        <f aca="false">IF($M57="","",IF(T57&gt;=Scoring!$B$11,3,IF(T57&gt;=Scoring!$B$10,2,IF(T57&gt;=Scoring!$B$9,1,0))))</f>
        <v>1</v>
      </c>
      <c r="V57" s="12" t="n">
        <f aca="false">IFERROR(INDEX(Scoring!$B$27:$B$56,MATCH($E57,Scoring!$A$27:$A$56,0)),0)</f>
        <v>0</v>
      </c>
      <c r="W57" s="24" t="n">
        <f aca="false">IF($G57="","",ROUND((Scoring!$B$5-$G57)/30.4375,1))</f>
        <v>2.2</v>
      </c>
      <c r="X57" s="12" t="n">
        <f aca="false">IF($F57="Expired",Scoring!$B$18,IF($G57="",Scoring!$B$17,IF(W57&lt;=Scoring!$B$12,Scoring!$B$13,IF(W57&lt;=Scoring!$B$14,Scoring!$B$15,Scoring!$B$16))))</f>
        <v>2</v>
      </c>
      <c r="Y57" s="15" t="n">
        <f aca="false">IF($M57="","",ROUND((S57*Scoring!$B$6+U57*Scoring!$B$7)*IFERROR(INDEX(Scoring!$B$22:$B$24,MATCH($N57,Scoring!$A$22:$A$24,0)),1)+V57*Scoring!$B$8+X57,2))</f>
        <v>7</v>
      </c>
      <c r="Z57" s="12" t="n">
        <f aca="false">IF($M57="","",IF(SUMPRODUCT(($M$5:$M$249=$M57)*($G$5:$G$249&gt;$G57))&gt;0,0,IF(SUMPRODUCT(($M$5:$M$249=$M57)*($G$5:$G$249=$G57)*(ROW($M$5:$M$249)&lt;ROW($M57)))&gt;0,0,1)))</f>
        <v>1</v>
      </c>
      <c r="AA57" s="12" t="n">
        <f aca="false">IF($Z57=1,RANK($AE57,$AE$5:$AE$249,0),"")</f>
        <v>19</v>
      </c>
      <c r="AB57" s="7" t="s">
        <v>153</v>
      </c>
      <c r="AC57" s="6" t="s">
        <v>154</v>
      </c>
      <c r="AD57" s="6" t="s">
        <v>155</v>
      </c>
      <c r="AE57" s="25" t="n">
        <f aca="false">IF($Z57=1,$Y57+$T57/1000000000-ROW()/10000000,"")</f>
        <v>7.000003728</v>
      </c>
    </row>
    <row r="58" customFormat="false" ht="23.85" hidden="false" customHeight="false" outlineLevel="0" collapsed="false">
      <c r="A58" s="7" t="s">
        <v>434</v>
      </c>
      <c r="B58" s="6" t="s">
        <v>421</v>
      </c>
      <c r="C58" s="6" t="s">
        <v>398</v>
      </c>
      <c r="D58" s="7" t="s">
        <v>145</v>
      </c>
      <c r="E58" s="7" t="s">
        <v>389</v>
      </c>
      <c r="F58" s="12" t="s">
        <v>147</v>
      </c>
      <c r="G58" s="13" t="n">
        <v>46229</v>
      </c>
      <c r="H58" s="7" t="s">
        <v>435</v>
      </c>
      <c r="I58" s="6" t="s">
        <v>149</v>
      </c>
      <c r="J58" s="7" t="s">
        <v>60</v>
      </c>
      <c r="K58" s="12"/>
      <c r="L58" s="10" t="s">
        <v>436</v>
      </c>
      <c r="M58" s="7"/>
      <c r="N58" s="12"/>
      <c r="O58" s="12" t="str">
        <f aca="false">IF($M58="","",IF(COUNTIFS('QC listings'!$A$5:$A$200,$M58,'QC listings'!$C$5:$C$200,O$4,'QC listings'!$F$5:$F$200,"Listing page")+COUNTIFS('QC listings'!$A$5:$A$200,$M58,'QC listings'!$C$5:$C$200,O$4,'QC listings'!$F$5:$F$200,"Brand page")&gt;0,"Y",IF(COUNTIFS('QC listings'!$A$5:$A$200,$M58,'QC listings'!$C$5:$C$200,O$4)&gt;0,"?","–")))</f>
        <v/>
      </c>
      <c r="P58" s="12" t="str">
        <f aca="false">IF($M58="","",IF(COUNTIFS('QC listings'!$A$5:$A$200,$M58,'QC listings'!$C$5:$C$200,P$4,'QC listings'!$F$5:$F$200,"Listing page")+COUNTIFS('QC listings'!$A$5:$A$200,$M58,'QC listings'!$C$5:$C$200,P$4,'QC listings'!$F$5:$F$200,"Brand page")&gt;0,"Y",IF(COUNTIFS('QC listings'!$A$5:$A$200,$M58,'QC listings'!$C$5:$C$200,P$4)&gt;0,"?","–")))</f>
        <v/>
      </c>
      <c r="Q58" s="12" t="str">
        <f aca="false">IF($M58="","",IF(COUNTIFS('QC listings'!$A$5:$A$200,$M58,'QC listings'!$C$5:$C$200,Q$4,'QC listings'!$F$5:$F$200,"Listing page")+COUNTIFS('QC listings'!$A$5:$A$200,$M58,'QC listings'!$C$5:$C$200,Q$4,'QC listings'!$F$5:$F$200,"Brand page")&gt;0,"Y",IF(COUNTIFS('QC listings'!$A$5:$A$200,$M58,'QC listings'!$C$5:$C$200,Q$4)&gt;0,"?","–")))</f>
        <v/>
      </c>
      <c r="R58" s="12" t="str">
        <f aca="false">IF($M58="","",IF(COUNTIFS('QC listings'!$A$5:$A$200,$M58,'QC listings'!$C$5:$C$200,R$4,'QC listings'!$F$5:$F$200,"Listing page")+COUNTIFS('QC listings'!$A$5:$A$200,$M58,'QC listings'!$C$5:$C$200,R$4,'QC listings'!$F$5:$F$200,"Brand page")&gt;0,"Y",IF(COUNTIFS('QC listings'!$A$5:$A$200,$M58,'QC listings'!$C$5:$C$200,R$4)&gt;0,"?","–")))</f>
        <v/>
      </c>
      <c r="S58" s="12" t="str">
        <f aca="false">IF($M58="","",COUNTIF(O58:R58,"Y"))</f>
        <v/>
      </c>
      <c r="T58" s="23" t="str">
        <f aca="false">IF($M58="","",SUMPRODUCT(MAX(('QC listings'!$A$5:$A$200=$M58)*'QC listings'!$E$5:$E$200)))</f>
        <v/>
      </c>
      <c r="U58" s="12" t="str">
        <f aca="false">IF($M58="","",IF(T58&gt;=Scoring!$B$11,3,IF(T58&gt;=Scoring!$B$10,2,IF(T58&gt;=Scoring!$B$9,1,0))))</f>
        <v/>
      </c>
      <c r="V58" s="12" t="n">
        <f aca="false">IFERROR(INDEX(Scoring!$B$27:$B$56,MATCH($E58,Scoring!$A$27:$A$56,0)),0)</f>
        <v>0</v>
      </c>
      <c r="W58" s="24" t="n">
        <f aca="false">IF($G58="","",ROUND((Scoring!$B$5-$G58)/30.4375,1))</f>
        <v>2.2</v>
      </c>
      <c r="X58" s="12" t="n">
        <f aca="false">IF($F58="Expired",Scoring!$B$18,IF($G58="",Scoring!$B$17,IF(W58&lt;=Scoring!$B$12,Scoring!$B$13,IF(W58&lt;=Scoring!$B$14,Scoring!$B$15,Scoring!$B$16))))</f>
        <v>2</v>
      </c>
      <c r="Y58" s="15" t="str">
        <f aca="false">IF($M58="","",ROUND((S58*Scoring!$B$6+U58*Scoring!$B$7)*IFERROR(INDEX(Scoring!$B$22:$B$24,MATCH($N58,Scoring!$A$22:$A$24,0)),1)+V58*Scoring!$B$8+X58,2))</f>
        <v/>
      </c>
      <c r="Z58" s="12" t="str">
        <f aca="false">IF($M58="","",IF(SUMPRODUCT(($M$5:$M$249=$M58)*($G$5:$G$249&gt;$G58))&gt;0,0,IF(SUMPRODUCT(($M$5:$M$249=$M58)*($G$5:$G$249=$G58)*(ROW($M$5:$M$249)&lt;ROW($M58)))&gt;0,0,1)))</f>
        <v/>
      </c>
      <c r="AA58" s="12" t="str">
        <f aca="false">IF($Z58=1,RANK($AE58,$AE$5:$AE$249,0),"")</f>
        <v/>
      </c>
      <c r="AB58" s="7" t="s">
        <v>153</v>
      </c>
      <c r="AC58" s="6" t="s">
        <v>154</v>
      </c>
      <c r="AD58" s="6"/>
      <c r="AE58" s="25" t="str">
        <f aca="false">IF($Z58=1,$Y58+$T58/1000000000-ROW()/10000000,"")</f>
        <v/>
      </c>
    </row>
    <row r="59" customFormat="false" ht="23.85" hidden="false" customHeight="false" outlineLevel="0" collapsed="false">
      <c r="A59" s="7" t="s">
        <v>437</v>
      </c>
      <c r="B59" s="6" t="s">
        <v>421</v>
      </c>
      <c r="C59" s="6" t="s">
        <v>438</v>
      </c>
      <c r="D59" s="7" t="s">
        <v>145</v>
      </c>
      <c r="E59" s="7" t="s">
        <v>389</v>
      </c>
      <c r="F59" s="12" t="s">
        <v>147</v>
      </c>
      <c r="G59" s="13" t="n">
        <v>46229</v>
      </c>
      <c r="H59" s="7" t="s">
        <v>439</v>
      </c>
      <c r="I59" s="6" t="s">
        <v>149</v>
      </c>
      <c r="J59" s="7" t="s">
        <v>60</v>
      </c>
      <c r="K59" s="12"/>
      <c r="L59" s="10" t="s">
        <v>440</v>
      </c>
      <c r="M59" s="7"/>
      <c r="N59" s="12"/>
      <c r="O59" s="12" t="str">
        <f aca="false">IF($M59="","",IF(COUNTIFS('QC listings'!$A$5:$A$200,$M59,'QC listings'!$C$5:$C$200,O$4,'QC listings'!$F$5:$F$200,"Listing page")+COUNTIFS('QC listings'!$A$5:$A$200,$M59,'QC listings'!$C$5:$C$200,O$4,'QC listings'!$F$5:$F$200,"Brand page")&gt;0,"Y",IF(COUNTIFS('QC listings'!$A$5:$A$200,$M59,'QC listings'!$C$5:$C$200,O$4)&gt;0,"?","–")))</f>
        <v/>
      </c>
      <c r="P59" s="12" t="str">
        <f aca="false">IF($M59="","",IF(COUNTIFS('QC listings'!$A$5:$A$200,$M59,'QC listings'!$C$5:$C$200,P$4,'QC listings'!$F$5:$F$200,"Listing page")+COUNTIFS('QC listings'!$A$5:$A$200,$M59,'QC listings'!$C$5:$C$200,P$4,'QC listings'!$F$5:$F$200,"Brand page")&gt;0,"Y",IF(COUNTIFS('QC listings'!$A$5:$A$200,$M59,'QC listings'!$C$5:$C$200,P$4)&gt;0,"?","–")))</f>
        <v/>
      </c>
      <c r="Q59" s="12" t="str">
        <f aca="false">IF($M59="","",IF(COUNTIFS('QC listings'!$A$5:$A$200,$M59,'QC listings'!$C$5:$C$200,Q$4,'QC listings'!$F$5:$F$200,"Listing page")+COUNTIFS('QC listings'!$A$5:$A$200,$M59,'QC listings'!$C$5:$C$200,Q$4,'QC listings'!$F$5:$F$200,"Brand page")&gt;0,"Y",IF(COUNTIFS('QC listings'!$A$5:$A$200,$M59,'QC listings'!$C$5:$C$200,Q$4)&gt;0,"?","–")))</f>
        <v/>
      </c>
      <c r="R59" s="12" t="str">
        <f aca="false">IF($M59="","",IF(COUNTIFS('QC listings'!$A$5:$A$200,$M59,'QC listings'!$C$5:$C$200,R$4,'QC listings'!$F$5:$F$200,"Listing page")+COUNTIFS('QC listings'!$A$5:$A$200,$M59,'QC listings'!$C$5:$C$200,R$4,'QC listings'!$F$5:$F$200,"Brand page")&gt;0,"Y",IF(COUNTIFS('QC listings'!$A$5:$A$200,$M59,'QC listings'!$C$5:$C$200,R$4)&gt;0,"?","–")))</f>
        <v/>
      </c>
      <c r="S59" s="12" t="str">
        <f aca="false">IF($M59="","",COUNTIF(O59:R59,"Y"))</f>
        <v/>
      </c>
      <c r="T59" s="23" t="str">
        <f aca="false">IF($M59="","",SUMPRODUCT(MAX(('QC listings'!$A$5:$A$200=$M59)*'QC listings'!$E$5:$E$200)))</f>
        <v/>
      </c>
      <c r="U59" s="12" t="str">
        <f aca="false">IF($M59="","",IF(T59&gt;=Scoring!$B$11,3,IF(T59&gt;=Scoring!$B$10,2,IF(T59&gt;=Scoring!$B$9,1,0))))</f>
        <v/>
      </c>
      <c r="V59" s="12" t="n">
        <f aca="false">IFERROR(INDEX(Scoring!$B$27:$B$56,MATCH($E59,Scoring!$A$27:$A$56,0)),0)</f>
        <v>0</v>
      </c>
      <c r="W59" s="24" t="n">
        <f aca="false">IF($G59="","",ROUND((Scoring!$B$5-$G59)/30.4375,1))</f>
        <v>2.2</v>
      </c>
      <c r="X59" s="12" t="n">
        <f aca="false">IF($F59="Expired",Scoring!$B$18,IF($G59="",Scoring!$B$17,IF(W59&lt;=Scoring!$B$12,Scoring!$B$13,IF(W59&lt;=Scoring!$B$14,Scoring!$B$15,Scoring!$B$16))))</f>
        <v>2</v>
      </c>
      <c r="Y59" s="15" t="str">
        <f aca="false">IF($M59="","",ROUND((S59*Scoring!$B$6+U59*Scoring!$B$7)*IFERROR(INDEX(Scoring!$B$22:$B$24,MATCH($N59,Scoring!$A$22:$A$24,0)),1)+V59*Scoring!$B$8+X59,2))</f>
        <v/>
      </c>
      <c r="Z59" s="12" t="str">
        <f aca="false">IF($M59="","",IF(SUMPRODUCT(($M$5:$M$249=$M59)*($G$5:$G$249&gt;$G59))&gt;0,0,IF(SUMPRODUCT(($M$5:$M$249=$M59)*($G$5:$G$249=$G59)*(ROW($M$5:$M$249)&lt;ROW($M59)))&gt;0,0,1)))</f>
        <v/>
      </c>
      <c r="AA59" s="12" t="str">
        <f aca="false">IF($Z59=1,RANK($AE59,$AE$5:$AE$249,0),"")</f>
        <v/>
      </c>
      <c r="AB59" s="7" t="s">
        <v>153</v>
      </c>
      <c r="AC59" s="6" t="s">
        <v>154</v>
      </c>
      <c r="AD59" s="6"/>
      <c r="AE59" s="25" t="str">
        <f aca="false">IF($Z59=1,$Y59+$T59/1000000000-ROW()/10000000,"")</f>
        <v/>
      </c>
    </row>
    <row r="60" customFormat="false" ht="23.85" hidden="false" customHeight="false" outlineLevel="0" collapsed="false">
      <c r="A60" s="7" t="s">
        <v>441</v>
      </c>
      <c r="B60" s="6" t="s">
        <v>442</v>
      </c>
      <c r="C60" s="6" t="s">
        <v>443</v>
      </c>
      <c r="D60" s="7" t="s">
        <v>145</v>
      </c>
      <c r="E60" s="7" t="s">
        <v>444</v>
      </c>
      <c r="F60" s="12" t="s">
        <v>147</v>
      </c>
      <c r="G60" s="13" t="n">
        <v>45914</v>
      </c>
      <c r="H60" s="7" t="s">
        <v>445</v>
      </c>
      <c r="I60" s="6" t="s">
        <v>149</v>
      </c>
      <c r="J60" s="7" t="s">
        <v>60</v>
      </c>
      <c r="K60" s="12"/>
      <c r="L60" s="10" t="s">
        <v>446</v>
      </c>
      <c r="M60" s="7"/>
      <c r="N60" s="12"/>
      <c r="O60" s="12" t="str">
        <f aca="false">IF($M60="","",IF(COUNTIFS('QC listings'!$A$5:$A$200,$M60,'QC listings'!$C$5:$C$200,O$4,'QC listings'!$F$5:$F$200,"Listing page")+COUNTIFS('QC listings'!$A$5:$A$200,$M60,'QC listings'!$C$5:$C$200,O$4,'QC listings'!$F$5:$F$200,"Brand page")&gt;0,"Y",IF(COUNTIFS('QC listings'!$A$5:$A$200,$M60,'QC listings'!$C$5:$C$200,O$4)&gt;0,"?","–")))</f>
        <v/>
      </c>
      <c r="P60" s="12" t="str">
        <f aca="false">IF($M60="","",IF(COUNTIFS('QC listings'!$A$5:$A$200,$M60,'QC listings'!$C$5:$C$200,P$4,'QC listings'!$F$5:$F$200,"Listing page")+COUNTIFS('QC listings'!$A$5:$A$200,$M60,'QC listings'!$C$5:$C$200,P$4,'QC listings'!$F$5:$F$200,"Brand page")&gt;0,"Y",IF(COUNTIFS('QC listings'!$A$5:$A$200,$M60,'QC listings'!$C$5:$C$200,P$4)&gt;0,"?","–")))</f>
        <v/>
      </c>
      <c r="Q60" s="12" t="str">
        <f aca="false">IF($M60="","",IF(COUNTIFS('QC listings'!$A$5:$A$200,$M60,'QC listings'!$C$5:$C$200,Q$4,'QC listings'!$F$5:$F$200,"Listing page")+COUNTIFS('QC listings'!$A$5:$A$200,$M60,'QC listings'!$C$5:$C$200,Q$4,'QC listings'!$F$5:$F$200,"Brand page")&gt;0,"Y",IF(COUNTIFS('QC listings'!$A$5:$A$200,$M60,'QC listings'!$C$5:$C$200,Q$4)&gt;0,"?","–")))</f>
        <v/>
      </c>
      <c r="R60" s="12" t="str">
        <f aca="false">IF($M60="","",IF(COUNTIFS('QC listings'!$A$5:$A$200,$M60,'QC listings'!$C$5:$C$200,R$4,'QC listings'!$F$5:$F$200,"Listing page")+COUNTIFS('QC listings'!$A$5:$A$200,$M60,'QC listings'!$C$5:$C$200,R$4,'QC listings'!$F$5:$F$200,"Brand page")&gt;0,"Y",IF(COUNTIFS('QC listings'!$A$5:$A$200,$M60,'QC listings'!$C$5:$C$200,R$4)&gt;0,"?","–")))</f>
        <v/>
      </c>
      <c r="S60" s="12" t="str">
        <f aca="false">IF($M60="","",COUNTIF(O60:R60,"Y"))</f>
        <v/>
      </c>
      <c r="T60" s="23" t="str">
        <f aca="false">IF($M60="","",SUMPRODUCT(MAX(('QC listings'!$A$5:$A$200=$M60)*'QC listings'!$E$5:$E$200)))</f>
        <v/>
      </c>
      <c r="U60" s="12" t="str">
        <f aca="false">IF($M60="","",IF(T60&gt;=Scoring!$B$11,3,IF(T60&gt;=Scoring!$B$10,2,IF(T60&gt;=Scoring!$B$9,1,0))))</f>
        <v/>
      </c>
      <c r="V60" s="12" t="n">
        <f aca="false">IFERROR(INDEX(Scoring!$B$27:$B$56,MATCH($E60,Scoring!$A$27:$A$56,0)),0)</f>
        <v>0</v>
      </c>
      <c r="W60" s="24" t="n">
        <f aca="false">IF($G60="","",ROUND((Scoring!$B$5-$G60)/30.4375,1))</f>
        <v>12.6</v>
      </c>
      <c r="X60" s="12" t="n">
        <f aca="false">IF($F60="Expired",Scoring!$B$18,IF($G60="",Scoring!$B$17,IF(W60&lt;=Scoring!$B$12,Scoring!$B$13,IF(W60&lt;=Scoring!$B$14,Scoring!$B$15,Scoring!$B$16))))</f>
        <v>1</v>
      </c>
      <c r="Y60" s="15" t="str">
        <f aca="false">IF($M60="","",ROUND((S60*Scoring!$B$6+U60*Scoring!$B$7)*IFERROR(INDEX(Scoring!$B$22:$B$24,MATCH($N60,Scoring!$A$22:$A$24,0)),1)+V60*Scoring!$B$8+X60,2))</f>
        <v/>
      </c>
      <c r="Z60" s="12" t="str">
        <f aca="false">IF($M60="","",IF(SUMPRODUCT(($M$5:$M$249=$M60)*($G$5:$G$249&gt;$G60))&gt;0,0,IF(SUMPRODUCT(($M$5:$M$249=$M60)*($G$5:$G$249=$G60)*(ROW($M$5:$M$249)&lt;ROW($M60)))&gt;0,0,1)))</f>
        <v/>
      </c>
      <c r="AA60" s="12" t="str">
        <f aca="false">IF($Z60=1,RANK($AE60,$AE$5:$AE$249,0),"")</f>
        <v/>
      </c>
      <c r="AB60" s="7" t="s">
        <v>153</v>
      </c>
      <c r="AC60" s="6" t="s">
        <v>154</v>
      </c>
      <c r="AD60" s="6"/>
      <c r="AE60" s="25" t="str">
        <f aca="false">IF($Z60=1,$Y60+$T60/1000000000-ROW()/10000000,"")</f>
        <v/>
      </c>
    </row>
    <row r="61" customFormat="false" ht="23.85" hidden="false" customHeight="false" outlineLevel="0" collapsed="false">
      <c r="A61" s="7" t="s">
        <v>447</v>
      </c>
      <c r="B61" s="6" t="s">
        <v>442</v>
      </c>
      <c r="C61" s="6" t="s">
        <v>448</v>
      </c>
      <c r="D61" s="7" t="s">
        <v>145</v>
      </c>
      <c r="E61" s="7" t="s">
        <v>444</v>
      </c>
      <c r="F61" s="12" t="s">
        <v>147</v>
      </c>
      <c r="G61" s="13" t="n">
        <v>45914</v>
      </c>
      <c r="H61" s="7" t="s">
        <v>449</v>
      </c>
      <c r="I61" s="6" t="s">
        <v>149</v>
      </c>
      <c r="J61" s="7" t="s">
        <v>60</v>
      </c>
      <c r="K61" s="12"/>
      <c r="L61" s="10" t="s">
        <v>450</v>
      </c>
      <c r="M61" s="7"/>
      <c r="N61" s="12"/>
      <c r="O61" s="12" t="str">
        <f aca="false">IF($M61="","",IF(COUNTIFS('QC listings'!$A$5:$A$200,$M61,'QC listings'!$C$5:$C$200,O$4,'QC listings'!$F$5:$F$200,"Listing page")+COUNTIFS('QC listings'!$A$5:$A$200,$M61,'QC listings'!$C$5:$C$200,O$4,'QC listings'!$F$5:$F$200,"Brand page")&gt;0,"Y",IF(COUNTIFS('QC listings'!$A$5:$A$200,$M61,'QC listings'!$C$5:$C$200,O$4)&gt;0,"?","–")))</f>
        <v/>
      </c>
      <c r="P61" s="12" t="str">
        <f aca="false">IF($M61="","",IF(COUNTIFS('QC listings'!$A$5:$A$200,$M61,'QC listings'!$C$5:$C$200,P$4,'QC listings'!$F$5:$F$200,"Listing page")+COUNTIFS('QC listings'!$A$5:$A$200,$M61,'QC listings'!$C$5:$C$200,P$4,'QC listings'!$F$5:$F$200,"Brand page")&gt;0,"Y",IF(COUNTIFS('QC listings'!$A$5:$A$200,$M61,'QC listings'!$C$5:$C$200,P$4)&gt;0,"?","–")))</f>
        <v/>
      </c>
      <c r="Q61" s="12" t="str">
        <f aca="false">IF($M61="","",IF(COUNTIFS('QC listings'!$A$5:$A$200,$M61,'QC listings'!$C$5:$C$200,Q$4,'QC listings'!$F$5:$F$200,"Listing page")+COUNTIFS('QC listings'!$A$5:$A$200,$M61,'QC listings'!$C$5:$C$200,Q$4,'QC listings'!$F$5:$F$200,"Brand page")&gt;0,"Y",IF(COUNTIFS('QC listings'!$A$5:$A$200,$M61,'QC listings'!$C$5:$C$200,Q$4)&gt;0,"?","–")))</f>
        <v/>
      </c>
      <c r="R61" s="12" t="str">
        <f aca="false">IF($M61="","",IF(COUNTIFS('QC listings'!$A$5:$A$200,$M61,'QC listings'!$C$5:$C$200,R$4,'QC listings'!$F$5:$F$200,"Listing page")+COUNTIFS('QC listings'!$A$5:$A$200,$M61,'QC listings'!$C$5:$C$200,R$4,'QC listings'!$F$5:$F$200,"Brand page")&gt;0,"Y",IF(COUNTIFS('QC listings'!$A$5:$A$200,$M61,'QC listings'!$C$5:$C$200,R$4)&gt;0,"?","–")))</f>
        <v/>
      </c>
      <c r="S61" s="12" t="str">
        <f aca="false">IF($M61="","",COUNTIF(O61:R61,"Y"))</f>
        <v/>
      </c>
      <c r="T61" s="23" t="str">
        <f aca="false">IF($M61="","",SUMPRODUCT(MAX(('QC listings'!$A$5:$A$200=$M61)*'QC listings'!$E$5:$E$200)))</f>
        <v/>
      </c>
      <c r="U61" s="12" t="str">
        <f aca="false">IF($M61="","",IF(T61&gt;=Scoring!$B$11,3,IF(T61&gt;=Scoring!$B$10,2,IF(T61&gt;=Scoring!$B$9,1,0))))</f>
        <v/>
      </c>
      <c r="V61" s="12" t="n">
        <f aca="false">IFERROR(INDEX(Scoring!$B$27:$B$56,MATCH($E61,Scoring!$A$27:$A$56,0)),0)</f>
        <v>0</v>
      </c>
      <c r="W61" s="24" t="n">
        <f aca="false">IF($G61="","",ROUND((Scoring!$B$5-$G61)/30.4375,1))</f>
        <v>12.6</v>
      </c>
      <c r="X61" s="12" t="n">
        <f aca="false">IF($F61="Expired",Scoring!$B$18,IF($G61="",Scoring!$B$17,IF(W61&lt;=Scoring!$B$12,Scoring!$B$13,IF(W61&lt;=Scoring!$B$14,Scoring!$B$15,Scoring!$B$16))))</f>
        <v>1</v>
      </c>
      <c r="Y61" s="15" t="str">
        <f aca="false">IF($M61="","",ROUND((S61*Scoring!$B$6+U61*Scoring!$B$7)*IFERROR(INDEX(Scoring!$B$22:$B$24,MATCH($N61,Scoring!$A$22:$A$24,0)),1)+V61*Scoring!$B$8+X61,2))</f>
        <v/>
      </c>
      <c r="Z61" s="12" t="str">
        <f aca="false">IF($M61="","",IF(SUMPRODUCT(($M$5:$M$249=$M61)*($G$5:$G$249&gt;$G61))&gt;0,0,IF(SUMPRODUCT(($M$5:$M$249=$M61)*($G$5:$G$249=$G61)*(ROW($M$5:$M$249)&lt;ROW($M61)))&gt;0,0,1)))</f>
        <v/>
      </c>
      <c r="AA61" s="12" t="str">
        <f aca="false">IF($Z61=1,RANK($AE61,$AE$5:$AE$249,0),"")</f>
        <v/>
      </c>
      <c r="AB61" s="7" t="s">
        <v>153</v>
      </c>
      <c r="AC61" s="6" t="s">
        <v>154</v>
      </c>
      <c r="AD61" s="6"/>
      <c r="AE61" s="25" t="str">
        <f aca="false">IF($Z61=1,$Y61+$T61/1000000000-ROW()/10000000,"")</f>
        <v/>
      </c>
    </row>
    <row r="62" customFormat="false" ht="23.85" hidden="false" customHeight="false" outlineLevel="0" collapsed="false">
      <c r="A62" s="7" t="s">
        <v>451</v>
      </c>
      <c r="B62" s="6" t="s">
        <v>452</v>
      </c>
      <c r="C62" s="6" t="s">
        <v>453</v>
      </c>
      <c r="D62" s="7" t="s">
        <v>145</v>
      </c>
      <c r="E62" s="7" t="s">
        <v>444</v>
      </c>
      <c r="F62" s="12" t="s">
        <v>147</v>
      </c>
      <c r="G62" s="13" t="n">
        <v>46215</v>
      </c>
      <c r="H62" s="7" t="s">
        <v>454</v>
      </c>
      <c r="I62" s="6" t="s">
        <v>149</v>
      </c>
      <c r="J62" s="7" t="s">
        <v>60</v>
      </c>
      <c r="K62" s="12"/>
      <c r="L62" s="10" t="s">
        <v>455</v>
      </c>
      <c r="M62" s="7" t="s">
        <v>456</v>
      </c>
      <c r="N62" s="12" t="s">
        <v>152</v>
      </c>
      <c r="O62" s="12" t="str">
        <f aca="false">IF($M62="","",IF(COUNTIFS('QC listings'!$A$5:$A$200,$M62,'QC listings'!$C$5:$C$200,O$4,'QC listings'!$F$5:$F$200,"Listing page")+COUNTIFS('QC listings'!$A$5:$A$200,$M62,'QC listings'!$C$5:$C$200,O$4,'QC listings'!$F$5:$F$200,"Brand page")&gt;0,"Y",IF(COUNTIFS('QC listings'!$A$5:$A$200,$M62,'QC listings'!$C$5:$C$200,O$4)&gt;0,"?","–")))</f>
        <v>Y</v>
      </c>
      <c r="P62" s="12" t="str">
        <f aca="false">IF($M62="","",IF(COUNTIFS('QC listings'!$A$5:$A$200,$M62,'QC listings'!$C$5:$C$200,P$4,'QC listings'!$F$5:$F$200,"Listing page")+COUNTIFS('QC listings'!$A$5:$A$200,$M62,'QC listings'!$C$5:$C$200,P$4,'QC listings'!$F$5:$F$200,"Brand page")&gt;0,"Y",IF(COUNTIFS('QC listings'!$A$5:$A$200,$M62,'QC listings'!$C$5:$C$200,P$4)&gt;0,"?","–")))</f>
        <v>Y</v>
      </c>
      <c r="Q62" s="12" t="str">
        <f aca="false">IF($M62="","",IF(COUNTIFS('QC listings'!$A$5:$A$200,$M62,'QC listings'!$C$5:$C$200,Q$4,'QC listings'!$F$5:$F$200,"Listing page")+COUNTIFS('QC listings'!$A$5:$A$200,$M62,'QC listings'!$C$5:$C$200,Q$4,'QC listings'!$F$5:$F$200,"Brand page")&gt;0,"Y",IF(COUNTIFS('QC listings'!$A$5:$A$200,$M62,'QC listings'!$C$5:$C$200,Q$4)&gt;0,"?","–")))</f>
        <v>–</v>
      </c>
      <c r="R62" s="12" t="str">
        <f aca="false">IF($M62="","",IF(COUNTIFS('QC listings'!$A$5:$A$200,$M62,'QC listings'!$C$5:$C$200,R$4,'QC listings'!$F$5:$F$200,"Listing page")+COUNTIFS('QC listings'!$A$5:$A$200,$M62,'QC listings'!$C$5:$C$200,R$4,'QC listings'!$F$5:$F$200,"Brand page")&gt;0,"Y",IF(COUNTIFS('QC listings'!$A$5:$A$200,$M62,'QC listings'!$C$5:$C$200,R$4)&gt;0,"?","–")))</f>
        <v>Y</v>
      </c>
      <c r="S62" s="12" t="n">
        <f aca="false">IF($M62="","",COUNTIF(O62:R62,"Y"))</f>
        <v>3</v>
      </c>
      <c r="T62" s="23" t="n">
        <f aca="false">IF($M62="","",SUMPRODUCT(MAX(('QC listings'!$A$5:$A$200=$M62)*'QC listings'!$E$5:$E$200)))</f>
        <v>6869</v>
      </c>
      <c r="U62" s="12" t="n">
        <f aca="false">IF($M62="","",IF(T62&gt;=Scoring!$B$11,3,IF(T62&gt;=Scoring!$B$10,2,IF(T62&gt;=Scoring!$B$9,1,0))))</f>
        <v>1</v>
      </c>
      <c r="V62" s="12" t="n">
        <f aca="false">IFERROR(INDEX(Scoring!$B$27:$B$56,MATCH($E62,Scoring!$A$27:$A$56,0)),0)</f>
        <v>0</v>
      </c>
      <c r="W62" s="24" t="n">
        <f aca="false">IF($G62="","",ROUND((Scoring!$B$5-$G62)/30.4375,1))</f>
        <v>2.7</v>
      </c>
      <c r="X62" s="12" t="n">
        <f aca="false">IF($F62="Expired",Scoring!$B$18,IF($G62="",Scoring!$B$17,IF(W62&lt;=Scoring!$B$12,Scoring!$B$13,IF(W62&lt;=Scoring!$B$14,Scoring!$B$15,Scoring!$B$16))))</f>
        <v>2</v>
      </c>
      <c r="Y62" s="15" t="n">
        <f aca="false">IF($M62="","",ROUND((S62*Scoring!$B$6+U62*Scoring!$B$7)*IFERROR(INDEX(Scoring!$B$22:$B$24,MATCH($N62,Scoring!$A$22:$A$24,0)),1)+V62*Scoring!$B$8+X62,2))</f>
        <v>7</v>
      </c>
      <c r="Z62" s="12" t="n">
        <f aca="false">IF($M62="","",IF(SUMPRODUCT(($M$5:$M$249=$M62)*($G$5:$G$249&gt;$G62))&gt;0,0,IF(SUMPRODUCT(($M$5:$M$249=$M62)*($G$5:$G$249=$G62)*(ROW($M$5:$M$249)&lt;ROW($M62)))&gt;0,0,1)))</f>
        <v>1</v>
      </c>
      <c r="AA62" s="12" t="n">
        <f aca="false">IF($Z62=1,RANK($AE62,$AE$5:$AE$249,0),"")</f>
        <v>20</v>
      </c>
      <c r="AB62" s="7" t="s">
        <v>153</v>
      </c>
      <c r="AC62" s="6" t="s">
        <v>154</v>
      </c>
      <c r="AD62" s="6" t="s">
        <v>457</v>
      </c>
      <c r="AE62" s="25" t="n">
        <f aca="false">IF($Z62=1,$Y62+$T62/1000000000-ROW()/10000000,"")</f>
        <v>7.000000669</v>
      </c>
    </row>
    <row r="63" customFormat="false" ht="23.85" hidden="false" customHeight="false" outlineLevel="0" collapsed="false">
      <c r="A63" s="7" t="s">
        <v>458</v>
      </c>
      <c r="B63" s="6" t="s">
        <v>459</v>
      </c>
      <c r="C63" s="6" t="s">
        <v>460</v>
      </c>
      <c r="D63" s="7" t="s">
        <v>145</v>
      </c>
      <c r="E63" s="7" t="s">
        <v>444</v>
      </c>
      <c r="F63" s="12" t="s">
        <v>158</v>
      </c>
      <c r="G63" s="13" t="n">
        <v>45802</v>
      </c>
      <c r="H63" s="7" t="s">
        <v>461</v>
      </c>
      <c r="I63" s="6" t="s">
        <v>149</v>
      </c>
      <c r="J63" s="7" t="s">
        <v>60</v>
      </c>
      <c r="K63" s="12"/>
      <c r="L63" s="10" t="s">
        <v>462</v>
      </c>
      <c r="M63" s="7" t="s">
        <v>463</v>
      </c>
      <c r="N63" s="12" t="s">
        <v>152</v>
      </c>
      <c r="O63" s="12" t="str">
        <f aca="false">IF($M63="","",IF(COUNTIFS('QC listings'!$A$5:$A$200,$M63,'QC listings'!$C$5:$C$200,O$4,'QC listings'!$F$5:$F$200,"Listing page")+COUNTIFS('QC listings'!$A$5:$A$200,$M63,'QC listings'!$C$5:$C$200,O$4,'QC listings'!$F$5:$F$200,"Brand page")&gt;0,"Y",IF(COUNTIFS('QC listings'!$A$5:$A$200,$M63,'QC listings'!$C$5:$C$200,O$4)&gt;0,"?","–")))</f>
        <v>Y</v>
      </c>
      <c r="P63" s="12" t="str">
        <f aca="false">IF($M63="","",IF(COUNTIFS('QC listings'!$A$5:$A$200,$M63,'QC listings'!$C$5:$C$200,P$4,'QC listings'!$F$5:$F$200,"Listing page")+COUNTIFS('QC listings'!$A$5:$A$200,$M63,'QC listings'!$C$5:$C$200,P$4,'QC listings'!$F$5:$F$200,"Brand page")&gt;0,"Y",IF(COUNTIFS('QC listings'!$A$5:$A$200,$M63,'QC listings'!$C$5:$C$200,P$4)&gt;0,"?","–")))</f>
        <v>Y</v>
      </c>
      <c r="Q63" s="12" t="str">
        <f aca="false">IF($M63="","",IF(COUNTIFS('QC listings'!$A$5:$A$200,$M63,'QC listings'!$C$5:$C$200,Q$4,'QC listings'!$F$5:$F$200,"Listing page")+COUNTIFS('QC listings'!$A$5:$A$200,$M63,'QC listings'!$C$5:$C$200,Q$4,'QC listings'!$F$5:$F$200,"Brand page")&gt;0,"Y",IF(COUNTIFS('QC listings'!$A$5:$A$200,$M63,'QC listings'!$C$5:$C$200,Q$4)&gt;0,"?","–")))</f>
        <v>Y</v>
      </c>
      <c r="R63" s="12" t="str">
        <f aca="false">IF($M63="","",IF(COUNTIFS('QC listings'!$A$5:$A$200,$M63,'QC listings'!$C$5:$C$200,R$4,'QC listings'!$F$5:$F$200,"Listing page")+COUNTIFS('QC listings'!$A$5:$A$200,$M63,'QC listings'!$C$5:$C$200,R$4,'QC listings'!$F$5:$F$200,"Brand page")&gt;0,"Y",IF(COUNTIFS('QC listings'!$A$5:$A$200,$M63,'QC listings'!$C$5:$C$200,R$4)&gt;0,"?","–")))</f>
        <v>Y</v>
      </c>
      <c r="S63" s="12" t="n">
        <f aca="false">IF($M63="","",COUNTIF(O63:R63,"Y"))</f>
        <v>4</v>
      </c>
      <c r="T63" s="23" t="n">
        <f aca="false">IF($M63="","",SUMPRODUCT(MAX(('QC listings'!$A$5:$A$200=$M63)*'QC listings'!$E$5:$E$200)))</f>
        <v>4751</v>
      </c>
      <c r="U63" s="12" t="n">
        <f aca="false">IF($M63="","",IF(T63&gt;=Scoring!$B$11,3,IF(T63&gt;=Scoring!$B$10,2,IF(T63&gt;=Scoring!$B$9,1,0))))</f>
        <v>1</v>
      </c>
      <c r="V63" s="12" t="n">
        <f aca="false">IFERROR(INDEX(Scoring!$B$27:$B$56,MATCH($E63,Scoring!$A$27:$A$56,0)),0)</f>
        <v>0</v>
      </c>
      <c r="W63" s="24" t="n">
        <f aca="false">IF($G63="","",ROUND((Scoring!$B$5-$G63)/30.4375,1))</f>
        <v>16.3</v>
      </c>
      <c r="X63" s="12" t="n">
        <f aca="false">IF($F63="Expired",Scoring!$B$18,IF($G63="",Scoring!$B$17,IF(W63&lt;=Scoring!$B$12,Scoring!$B$13,IF(W63&lt;=Scoring!$B$14,Scoring!$B$15,Scoring!$B$16))))</f>
        <v>1</v>
      </c>
      <c r="Y63" s="15" t="n">
        <f aca="false">IF($M63="","",ROUND((S63*Scoring!$B$6+U63*Scoring!$B$7)*IFERROR(INDEX(Scoring!$B$22:$B$24,MATCH($N63,Scoring!$A$22:$A$24,0)),1)+V63*Scoring!$B$8+X63,2))</f>
        <v>7</v>
      </c>
      <c r="Z63" s="12" t="n">
        <f aca="false">IF($M63="","",IF(SUMPRODUCT(($M$5:$M$249=$M63)*($G$5:$G$249&gt;$G63))&gt;0,0,IF(SUMPRODUCT(($M$5:$M$249=$M63)*($G$5:$G$249=$G63)*(ROW($M$5:$M$249)&lt;ROW($M63)))&gt;0,0,1)))</f>
        <v>1</v>
      </c>
      <c r="AA63" s="12" t="n">
        <f aca="false">IF($Z63=1,RANK($AE63,$AE$5:$AE$249,0),"")</f>
        <v>21</v>
      </c>
      <c r="AB63" s="7" t="s">
        <v>153</v>
      </c>
      <c r="AC63" s="6" t="s">
        <v>162</v>
      </c>
      <c r="AD63" s="6" t="s">
        <v>464</v>
      </c>
      <c r="AE63" s="25" t="n">
        <f aca="false">IF($Z63=1,$Y63+$T63/1000000000-ROW()/10000000,"")</f>
        <v>6.999998451</v>
      </c>
    </row>
    <row r="64" customFormat="false" ht="23.85" hidden="false" customHeight="false" outlineLevel="0" collapsed="false">
      <c r="A64" s="7" t="s">
        <v>465</v>
      </c>
      <c r="B64" s="6" t="s">
        <v>466</v>
      </c>
      <c r="C64" s="6" t="s">
        <v>467</v>
      </c>
      <c r="D64" s="7" t="s">
        <v>145</v>
      </c>
      <c r="E64" s="7" t="s">
        <v>444</v>
      </c>
      <c r="F64" s="12" t="s">
        <v>147</v>
      </c>
      <c r="G64" s="13" t="n">
        <v>45945</v>
      </c>
      <c r="H64" s="7" t="s">
        <v>468</v>
      </c>
      <c r="I64" s="6" t="s">
        <v>149</v>
      </c>
      <c r="J64" s="7" t="s">
        <v>60</v>
      </c>
      <c r="K64" s="12"/>
      <c r="L64" s="10" t="s">
        <v>469</v>
      </c>
      <c r="M64" s="7"/>
      <c r="N64" s="12"/>
      <c r="O64" s="12" t="str">
        <f aca="false">IF($M64="","",IF(COUNTIFS('QC listings'!$A$5:$A$200,$M64,'QC listings'!$C$5:$C$200,O$4,'QC listings'!$F$5:$F$200,"Listing page")+COUNTIFS('QC listings'!$A$5:$A$200,$M64,'QC listings'!$C$5:$C$200,O$4,'QC listings'!$F$5:$F$200,"Brand page")&gt;0,"Y",IF(COUNTIFS('QC listings'!$A$5:$A$200,$M64,'QC listings'!$C$5:$C$200,O$4)&gt;0,"?","–")))</f>
        <v/>
      </c>
      <c r="P64" s="12" t="str">
        <f aca="false">IF($M64="","",IF(COUNTIFS('QC listings'!$A$5:$A$200,$M64,'QC listings'!$C$5:$C$200,P$4,'QC listings'!$F$5:$F$200,"Listing page")+COUNTIFS('QC listings'!$A$5:$A$200,$M64,'QC listings'!$C$5:$C$200,P$4,'QC listings'!$F$5:$F$200,"Brand page")&gt;0,"Y",IF(COUNTIFS('QC listings'!$A$5:$A$200,$M64,'QC listings'!$C$5:$C$200,P$4)&gt;0,"?","–")))</f>
        <v/>
      </c>
      <c r="Q64" s="12" t="str">
        <f aca="false">IF($M64="","",IF(COUNTIFS('QC listings'!$A$5:$A$200,$M64,'QC listings'!$C$5:$C$200,Q$4,'QC listings'!$F$5:$F$200,"Listing page")+COUNTIFS('QC listings'!$A$5:$A$200,$M64,'QC listings'!$C$5:$C$200,Q$4,'QC listings'!$F$5:$F$200,"Brand page")&gt;0,"Y",IF(COUNTIFS('QC listings'!$A$5:$A$200,$M64,'QC listings'!$C$5:$C$200,Q$4)&gt;0,"?","–")))</f>
        <v/>
      </c>
      <c r="R64" s="12" t="str">
        <f aca="false">IF($M64="","",IF(COUNTIFS('QC listings'!$A$5:$A$200,$M64,'QC listings'!$C$5:$C$200,R$4,'QC listings'!$F$5:$F$200,"Listing page")+COUNTIFS('QC listings'!$A$5:$A$200,$M64,'QC listings'!$C$5:$C$200,R$4,'QC listings'!$F$5:$F$200,"Brand page")&gt;0,"Y",IF(COUNTIFS('QC listings'!$A$5:$A$200,$M64,'QC listings'!$C$5:$C$200,R$4)&gt;0,"?","–")))</f>
        <v/>
      </c>
      <c r="S64" s="12" t="str">
        <f aca="false">IF($M64="","",COUNTIF(O64:R64,"Y"))</f>
        <v/>
      </c>
      <c r="T64" s="23" t="str">
        <f aca="false">IF($M64="","",SUMPRODUCT(MAX(('QC listings'!$A$5:$A$200=$M64)*'QC listings'!$E$5:$E$200)))</f>
        <v/>
      </c>
      <c r="U64" s="12" t="str">
        <f aca="false">IF($M64="","",IF(T64&gt;=Scoring!$B$11,3,IF(T64&gt;=Scoring!$B$10,2,IF(T64&gt;=Scoring!$B$9,1,0))))</f>
        <v/>
      </c>
      <c r="V64" s="12" t="n">
        <f aca="false">IFERROR(INDEX(Scoring!$B$27:$B$56,MATCH($E64,Scoring!$A$27:$A$56,0)),0)</f>
        <v>0</v>
      </c>
      <c r="W64" s="24" t="n">
        <f aca="false">IF($G64="","",ROUND((Scoring!$B$5-$G64)/30.4375,1))</f>
        <v>11.6</v>
      </c>
      <c r="X64" s="12" t="n">
        <f aca="false">IF($F64="Expired",Scoring!$B$18,IF($G64="",Scoring!$B$17,IF(W64&lt;=Scoring!$B$12,Scoring!$B$13,IF(W64&lt;=Scoring!$B$14,Scoring!$B$15,Scoring!$B$16))))</f>
        <v>2</v>
      </c>
      <c r="Y64" s="15" t="str">
        <f aca="false">IF($M64="","",ROUND((S64*Scoring!$B$6+U64*Scoring!$B$7)*IFERROR(INDEX(Scoring!$B$22:$B$24,MATCH($N64,Scoring!$A$22:$A$24,0)),1)+V64*Scoring!$B$8+X64,2))</f>
        <v/>
      </c>
      <c r="Z64" s="12" t="str">
        <f aca="false">IF($M64="","",IF(SUMPRODUCT(($M$5:$M$249=$M64)*($G$5:$G$249&gt;$G64))&gt;0,0,IF(SUMPRODUCT(($M$5:$M$249=$M64)*($G$5:$G$249=$G64)*(ROW($M$5:$M$249)&lt;ROW($M64)))&gt;0,0,1)))</f>
        <v/>
      </c>
      <c r="AA64" s="12" t="str">
        <f aca="false">IF($Z64=1,RANK($AE64,$AE$5:$AE$249,0),"")</f>
        <v/>
      </c>
      <c r="AB64" s="7" t="s">
        <v>153</v>
      </c>
      <c r="AC64" s="6" t="s">
        <v>154</v>
      </c>
      <c r="AD64" s="6"/>
      <c r="AE64" s="25" t="str">
        <f aca="false">IF($Z64=1,$Y64+$T64/1000000000-ROW()/10000000,"")</f>
        <v/>
      </c>
    </row>
    <row r="65" customFormat="false" ht="23.85" hidden="false" customHeight="false" outlineLevel="0" collapsed="false">
      <c r="A65" s="7" t="s">
        <v>470</v>
      </c>
      <c r="B65" s="6" t="s">
        <v>471</v>
      </c>
      <c r="C65" s="6" t="s">
        <v>472</v>
      </c>
      <c r="D65" s="7" t="s">
        <v>145</v>
      </c>
      <c r="E65" s="7" t="s">
        <v>473</v>
      </c>
      <c r="F65" s="12" t="s">
        <v>201</v>
      </c>
      <c r="G65" s="13"/>
      <c r="H65" s="7"/>
      <c r="I65" s="6" t="s">
        <v>202</v>
      </c>
      <c r="J65" s="7" t="s">
        <v>203</v>
      </c>
      <c r="K65" s="12"/>
      <c r="L65" s="10" t="s">
        <v>474</v>
      </c>
      <c r="M65" s="7"/>
      <c r="N65" s="12"/>
      <c r="O65" s="12" t="str">
        <f aca="false">IF($M65="","",IF(COUNTIFS('QC listings'!$A$5:$A$200,$M65,'QC listings'!$C$5:$C$200,O$4,'QC listings'!$F$5:$F$200,"Listing page")+COUNTIFS('QC listings'!$A$5:$A$200,$M65,'QC listings'!$C$5:$C$200,O$4,'QC listings'!$F$5:$F$200,"Brand page")&gt;0,"Y",IF(COUNTIFS('QC listings'!$A$5:$A$200,$M65,'QC listings'!$C$5:$C$200,O$4)&gt;0,"?","–")))</f>
        <v/>
      </c>
      <c r="P65" s="12" t="str">
        <f aca="false">IF($M65="","",IF(COUNTIFS('QC listings'!$A$5:$A$200,$M65,'QC listings'!$C$5:$C$200,P$4,'QC listings'!$F$5:$F$200,"Listing page")+COUNTIFS('QC listings'!$A$5:$A$200,$M65,'QC listings'!$C$5:$C$200,P$4,'QC listings'!$F$5:$F$200,"Brand page")&gt;0,"Y",IF(COUNTIFS('QC listings'!$A$5:$A$200,$M65,'QC listings'!$C$5:$C$200,P$4)&gt;0,"?","–")))</f>
        <v/>
      </c>
      <c r="Q65" s="12" t="str">
        <f aca="false">IF($M65="","",IF(COUNTIFS('QC listings'!$A$5:$A$200,$M65,'QC listings'!$C$5:$C$200,Q$4,'QC listings'!$F$5:$F$200,"Listing page")+COUNTIFS('QC listings'!$A$5:$A$200,$M65,'QC listings'!$C$5:$C$200,Q$4,'QC listings'!$F$5:$F$200,"Brand page")&gt;0,"Y",IF(COUNTIFS('QC listings'!$A$5:$A$200,$M65,'QC listings'!$C$5:$C$200,Q$4)&gt;0,"?","–")))</f>
        <v/>
      </c>
      <c r="R65" s="12" t="str">
        <f aca="false">IF($M65="","",IF(COUNTIFS('QC listings'!$A$5:$A$200,$M65,'QC listings'!$C$5:$C$200,R$4,'QC listings'!$F$5:$F$200,"Listing page")+COUNTIFS('QC listings'!$A$5:$A$200,$M65,'QC listings'!$C$5:$C$200,R$4,'QC listings'!$F$5:$F$200,"Brand page")&gt;0,"Y",IF(COUNTIFS('QC listings'!$A$5:$A$200,$M65,'QC listings'!$C$5:$C$200,R$4)&gt;0,"?","–")))</f>
        <v/>
      </c>
      <c r="S65" s="12" t="str">
        <f aca="false">IF($M65="","",COUNTIF(O65:R65,"Y"))</f>
        <v/>
      </c>
      <c r="T65" s="23" t="str">
        <f aca="false">IF($M65="","",SUMPRODUCT(MAX(('QC listings'!$A$5:$A$200=$M65)*'QC listings'!$E$5:$E$200)))</f>
        <v/>
      </c>
      <c r="U65" s="12" t="str">
        <f aca="false">IF($M65="","",IF(T65&gt;=Scoring!$B$11,3,IF(T65&gt;=Scoring!$B$10,2,IF(T65&gt;=Scoring!$B$9,1,0))))</f>
        <v/>
      </c>
      <c r="V65" s="12" t="n">
        <f aca="false">IFERROR(INDEX(Scoring!$B$27:$B$56,MATCH($E65,Scoring!$A$27:$A$56,0)),0)</f>
        <v>0</v>
      </c>
      <c r="W65" s="24" t="str">
        <f aca="false">IF($G65="","",ROUND((Scoring!$B$5-$G65)/30.4375,1))</f>
        <v/>
      </c>
      <c r="X65" s="12" t="n">
        <f aca="false">IF($F65="Expired",Scoring!$B$18,IF($G65="",Scoring!$B$17,IF(W65&lt;=Scoring!$B$12,Scoring!$B$13,IF(W65&lt;=Scoring!$B$14,Scoring!$B$15,Scoring!$B$16))))</f>
        <v>1</v>
      </c>
      <c r="Y65" s="15" t="str">
        <f aca="false">IF($M65="","",ROUND((S65*Scoring!$B$6+U65*Scoring!$B$7)*IFERROR(INDEX(Scoring!$B$22:$B$24,MATCH($N65,Scoring!$A$22:$A$24,0)),1)+V65*Scoring!$B$8+X65,2))</f>
        <v/>
      </c>
      <c r="Z65" s="12" t="str">
        <f aca="false">IF($M65="","",IF(SUMPRODUCT(($M$5:$M$249=$M65)*($G$5:$G$249&gt;$G65))&gt;0,0,IF(SUMPRODUCT(($M$5:$M$249=$M65)*($G$5:$G$249=$G65)*(ROW($M$5:$M$249)&lt;ROW($M65)))&gt;0,0,1)))</f>
        <v/>
      </c>
      <c r="AA65" s="12" t="str">
        <f aca="false">IF($Z65=1,RANK($AE65,$AE$5:$AE$249,0),"")</f>
        <v/>
      </c>
      <c r="AB65" s="7" t="s">
        <v>205</v>
      </c>
      <c r="AC65" s="6" t="s">
        <v>206</v>
      </c>
      <c r="AD65" s="6"/>
      <c r="AE65" s="25" t="str">
        <f aca="false">IF($Z65=1,$Y65+$T65/1000000000-ROW()/10000000,"")</f>
        <v/>
      </c>
    </row>
    <row r="66" customFormat="false" ht="23.85" hidden="false" customHeight="false" outlineLevel="0" collapsed="false">
      <c r="A66" s="7" t="s">
        <v>475</v>
      </c>
      <c r="B66" s="6" t="s">
        <v>476</v>
      </c>
      <c r="C66" s="6" t="s">
        <v>477</v>
      </c>
      <c r="D66" s="7" t="s">
        <v>145</v>
      </c>
      <c r="E66" s="7" t="s">
        <v>473</v>
      </c>
      <c r="F66" s="12" t="s">
        <v>201</v>
      </c>
      <c r="G66" s="13"/>
      <c r="H66" s="7"/>
      <c r="I66" s="6" t="s">
        <v>202</v>
      </c>
      <c r="J66" s="7" t="s">
        <v>203</v>
      </c>
      <c r="K66" s="12"/>
      <c r="L66" s="10" t="s">
        <v>478</v>
      </c>
      <c r="M66" s="7"/>
      <c r="N66" s="12"/>
      <c r="O66" s="12" t="str">
        <f aca="false">IF($M66="","",IF(COUNTIFS('QC listings'!$A$5:$A$200,$M66,'QC listings'!$C$5:$C$200,O$4,'QC listings'!$F$5:$F$200,"Listing page")+COUNTIFS('QC listings'!$A$5:$A$200,$M66,'QC listings'!$C$5:$C$200,O$4,'QC listings'!$F$5:$F$200,"Brand page")&gt;0,"Y",IF(COUNTIFS('QC listings'!$A$5:$A$200,$M66,'QC listings'!$C$5:$C$200,O$4)&gt;0,"?","–")))</f>
        <v/>
      </c>
      <c r="P66" s="12" t="str">
        <f aca="false">IF($M66="","",IF(COUNTIFS('QC listings'!$A$5:$A$200,$M66,'QC listings'!$C$5:$C$200,P$4,'QC listings'!$F$5:$F$200,"Listing page")+COUNTIFS('QC listings'!$A$5:$A$200,$M66,'QC listings'!$C$5:$C$200,P$4,'QC listings'!$F$5:$F$200,"Brand page")&gt;0,"Y",IF(COUNTIFS('QC listings'!$A$5:$A$200,$M66,'QC listings'!$C$5:$C$200,P$4)&gt;0,"?","–")))</f>
        <v/>
      </c>
      <c r="Q66" s="12" t="str">
        <f aca="false">IF($M66="","",IF(COUNTIFS('QC listings'!$A$5:$A$200,$M66,'QC listings'!$C$5:$C$200,Q$4,'QC listings'!$F$5:$F$200,"Listing page")+COUNTIFS('QC listings'!$A$5:$A$200,$M66,'QC listings'!$C$5:$C$200,Q$4,'QC listings'!$F$5:$F$200,"Brand page")&gt;0,"Y",IF(COUNTIFS('QC listings'!$A$5:$A$200,$M66,'QC listings'!$C$5:$C$200,Q$4)&gt;0,"?","–")))</f>
        <v/>
      </c>
      <c r="R66" s="12" t="str">
        <f aca="false">IF($M66="","",IF(COUNTIFS('QC listings'!$A$5:$A$200,$M66,'QC listings'!$C$5:$C$200,R$4,'QC listings'!$F$5:$F$200,"Listing page")+COUNTIFS('QC listings'!$A$5:$A$200,$M66,'QC listings'!$C$5:$C$200,R$4,'QC listings'!$F$5:$F$200,"Brand page")&gt;0,"Y",IF(COUNTIFS('QC listings'!$A$5:$A$200,$M66,'QC listings'!$C$5:$C$200,R$4)&gt;0,"?","–")))</f>
        <v/>
      </c>
      <c r="S66" s="12" t="str">
        <f aca="false">IF($M66="","",COUNTIF(O66:R66,"Y"))</f>
        <v/>
      </c>
      <c r="T66" s="23" t="str">
        <f aca="false">IF($M66="","",SUMPRODUCT(MAX(('QC listings'!$A$5:$A$200=$M66)*'QC listings'!$E$5:$E$200)))</f>
        <v/>
      </c>
      <c r="U66" s="12" t="str">
        <f aca="false">IF($M66="","",IF(T66&gt;=Scoring!$B$11,3,IF(T66&gt;=Scoring!$B$10,2,IF(T66&gt;=Scoring!$B$9,1,0))))</f>
        <v/>
      </c>
      <c r="V66" s="12" t="n">
        <f aca="false">IFERROR(INDEX(Scoring!$B$27:$B$56,MATCH($E66,Scoring!$A$27:$A$56,0)),0)</f>
        <v>0</v>
      </c>
      <c r="W66" s="24" t="str">
        <f aca="false">IF($G66="","",ROUND((Scoring!$B$5-$G66)/30.4375,1))</f>
        <v/>
      </c>
      <c r="X66" s="12" t="n">
        <f aca="false">IF($F66="Expired",Scoring!$B$18,IF($G66="",Scoring!$B$17,IF(W66&lt;=Scoring!$B$12,Scoring!$B$13,IF(W66&lt;=Scoring!$B$14,Scoring!$B$15,Scoring!$B$16))))</f>
        <v>1</v>
      </c>
      <c r="Y66" s="15" t="str">
        <f aca="false">IF($M66="","",ROUND((S66*Scoring!$B$6+U66*Scoring!$B$7)*IFERROR(INDEX(Scoring!$B$22:$B$24,MATCH($N66,Scoring!$A$22:$A$24,0)),1)+V66*Scoring!$B$8+X66,2))</f>
        <v/>
      </c>
      <c r="Z66" s="12" t="str">
        <f aca="false">IF($M66="","",IF(SUMPRODUCT(($M$5:$M$249=$M66)*($G$5:$G$249&gt;$G66))&gt;0,0,IF(SUMPRODUCT(($M$5:$M$249=$M66)*($G$5:$G$249=$G66)*(ROW($M$5:$M$249)&lt;ROW($M66)))&gt;0,0,1)))</f>
        <v/>
      </c>
      <c r="AA66" s="12" t="str">
        <f aca="false">IF($Z66=1,RANK($AE66,$AE$5:$AE$249,0),"")</f>
        <v/>
      </c>
      <c r="AB66" s="7" t="s">
        <v>205</v>
      </c>
      <c r="AC66" s="6" t="s">
        <v>206</v>
      </c>
      <c r="AD66" s="6"/>
      <c r="AE66" s="25" t="str">
        <f aca="false">IF($Z66=1,$Y66+$T66/1000000000-ROW()/10000000,"")</f>
        <v/>
      </c>
    </row>
    <row r="67" customFormat="false" ht="23.85" hidden="false" customHeight="false" outlineLevel="0" collapsed="false">
      <c r="A67" s="7" t="s">
        <v>479</v>
      </c>
      <c r="B67" s="6" t="s">
        <v>480</v>
      </c>
      <c r="C67" s="6" t="s">
        <v>481</v>
      </c>
      <c r="D67" s="7" t="s">
        <v>145</v>
      </c>
      <c r="E67" s="7" t="s">
        <v>473</v>
      </c>
      <c r="F67" s="12" t="s">
        <v>201</v>
      </c>
      <c r="G67" s="13"/>
      <c r="H67" s="7"/>
      <c r="I67" s="6" t="s">
        <v>202</v>
      </c>
      <c r="J67" s="7" t="s">
        <v>203</v>
      </c>
      <c r="K67" s="12"/>
      <c r="L67" s="10" t="s">
        <v>482</v>
      </c>
      <c r="M67" s="7"/>
      <c r="N67" s="12"/>
      <c r="O67" s="12" t="str">
        <f aca="false">IF($M67="","",IF(COUNTIFS('QC listings'!$A$5:$A$200,$M67,'QC listings'!$C$5:$C$200,O$4,'QC listings'!$F$5:$F$200,"Listing page")+COUNTIFS('QC listings'!$A$5:$A$200,$M67,'QC listings'!$C$5:$C$200,O$4,'QC listings'!$F$5:$F$200,"Brand page")&gt;0,"Y",IF(COUNTIFS('QC listings'!$A$5:$A$200,$M67,'QC listings'!$C$5:$C$200,O$4)&gt;0,"?","–")))</f>
        <v/>
      </c>
      <c r="P67" s="12" t="str">
        <f aca="false">IF($M67="","",IF(COUNTIFS('QC listings'!$A$5:$A$200,$M67,'QC listings'!$C$5:$C$200,P$4,'QC listings'!$F$5:$F$200,"Listing page")+COUNTIFS('QC listings'!$A$5:$A$200,$M67,'QC listings'!$C$5:$C$200,P$4,'QC listings'!$F$5:$F$200,"Brand page")&gt;0,"Y",IF(COUNTIFS('QC listings'!$A$5:$A$200,$M67,'QC listings'!$C$5:$C$200,P$4)&gt;0,"?","–")))</f>
        <v/>
      </c>
      <c r="Q67" s="12" t="str">
        <f aca="false">IF($M67="","",IF(COUNTIFS('QC listings'!$A$5:$A$200,$M67,'QC listings'!$C$5:$C$200,Q$4,'QC listings'!$F$5:$F$200,"Listing page")+COUNTIFS('QC listings'!$A$5:$A$200,$M67,'QC listings'!$C$5:$C$200,Q$4,'QC listings'!$F$5:$F$200,"Brand page")&gt;0,"Y",IF(COUNTIFS('QC listings'!$A$5:$A$200,$M67,'QC listings'!$C$5:$C$200,Q$4)&gt;0,"?","–")))</f>
        <v/>
      </c>
      <c r="R67" s="12" t="str">
        <f aca="false">IF($M67="","",IF(COUNTIFS('QC listings'!$A$5:$A$200,$M67,'QC listings'!$C$5:$C$200,R$4,'QC listings'!$F$5:$F$200,"Listing page")+COUNTIFS('QC listings'!$A$5:$A$200,$M67,'QC listings'!$C$5:$C$200,R$4,'QC listings'!$F$5:$F$200,"Brand page")&gt;0,"Y",IF(COUNTIFS('QC listings'!$A$5:$A$200,$M67,'QC listings'!$C$5:$C$200,R$4)&gt;0,"?","–")))</f>
        <v/>
      </c>
      <c r="S67" s="12" t="str">
        <f aca="false">IF($M67="","",COUNTIF(O67:R67,"Y"))</f>
        <v/>
      </c>
      <c r="T67" s="23" t="str">
        <f aca="false">IF($M67="","",SUMPRODUCT(MAX(('QC listings'!$A$5:$A$200=$M67)*'QC listings'!$E$5:$E$200)))</f>
        <v/>
      </c>
      <c r="U67" s="12" t="str">
        <f aca="false">IF($M67="","",IF(T67&gt;=Scoring!$B$11,3,IF(T67&gt;=Scoring!$B$10,2,IF(T67&gt;=Scoring!$B$9,1,0))))</f>
        <v/>
      </c>
      <c r="V67" s="12" t="n">
        <f aca="false">IFERROR(INDEX(Scoring!$B$27:$B$56,MATCH($E67,Scoring!$A$27:$A$56,0)),0)</f>
        <v>0</v>
      </c>
      <c r="W67" s="24" t="str">
        <f aca="false">IF($G67="","",ROUND((Scoring!$B$5-$G67)/30.4375,1))</f>
        <v/>
      </c>
      <c r="X67" s="12" t="n">
        <f aca="false">IF($F67="Expired",Scoring!$B$18,IF($G67="",Scoring!$B$17,IF(W67&lt;=Scoring!$B$12,Scoring!$B$13,IF(W67&lt;=Scoring!$B$14,Scoring!$B$15,Scoring!$B$16))))</f>
        <v>1</v>
      </c>
      <c r="Y67" s="15" t="str">
        <f aca="false">IF($M67="","",ROUND((S67*Scoring!$B$6+U67*Scoring!$B$7)*IFERROR(INDEX(Scoring!$B$22:$B$24,MATCH($N67,Scoring!$A$22:$A$24,0)),1)+V67*Scoring!$B$8+X67,2))</f>
        <v/>
      </c>
      <c r="Z67" s="12" t="str">
        <f aca="false">IF($M67="","",IF(SUMPRODUCT(($M$5:$M$249=$M67)*($G$5:$G$249&gt;$G67))&gt;0,0,IF(SUMPRODUCT(($M$5:$M$249=$M67)*($G$5:$G$249=$G67)*(ROW($M$5:$M$249)&lt;ROW($M67)))&gt;0,0,1)))</f>
        <v/>
      </c>
      <c r="AA67" s="12" t="str">
        <f aca="false">IF($Z67=1,RANK($AE67,$AE$5:$AE$249,0),"")</f>
        <v/>
      </c>
      <c r="AB67" s="7" t="s">
        <v>205</v>
      </c>
      <c r="AC67" s="6" t="s">
        <v>206</v>
      </c>
      <c r="AD67" s="6"/>
      <c r="AE67" s="25" t="str">
        <f aca="false">IF($Z67=1,$Y67+$T67/1000000000-ROW()/10000000,"")</f>
        <v/>
      </c>
    </row>
    <row r="68" customFormat="false" ht="23.85" hidden="false" customHeight="false" outlineLevel="0" collapsed="false">
      <c r="A68" s="7" t="s">
        <v>483</v>
      </c>
      <c r="B68" s="6" t="s">
        <v>480</v>
      </c>
      <c r="C68" s="6" t="s">
        <v>484</v>
      </c>
      <c r="D68" s="7" t="s">
        <v>145</v>
      </c>
      <c r="E68" s="7" t="s">
        <v>473</v>
      </c>
      <c r="F68" s="12" t="s">
        <v>158</v>
      </c>
      <c r="G68" s="13" t="n">
        <v>45848</v>
      </c>
      <c r="H68" s="7" t="s">
        <v>485</v>
      </c>
      <c r="I68" s="6" t="s">
        <v>149</v>
      </c>
      <c r="J68" s="7" t="s">
        <v>60</v>
      </c>
      <c r="K68" s="12"/>
      <c r="L68" s="10" t="s">
        <v>486</v>
      </c>
      <c r="M68" s="7" t="s">
        <v>487</v>
      </c>
      <c r="N68" s="12" t="s">
        <v>152</v>
      </c>
      <c r="O68" s="12" t="str">
        <f aca="false">IF($M68="","",IF(COUNTIFS('QC listings'!$A$5:$A$200,$M68,'QC listings'!$C$5:$C$200,O$4,'QC listings'!$F$5:$F$200,"Listing page")+COUNTIFS('QC listings'!$A$5:$A$200,$M68,'QC listings'!$C$5:$C$200,O$4,'QC listings'!$F$5:$F$200,"Brand page")&gt;0,"Y",IF(COUNTIFS('QC listings'!$A$5:$A$200,$M68,'QC listings'!$C$5:$C$200,O$4)&gt;0,"?","–")))</f>
        <v>Y</v>
      </c>
      <c r="P68" s="12" t="str">
        <f aca="false">IF($M68="","",IF(COUNTIFS('QC listings'!$A$5:$A$200,$M68,'QC listings'!$C$5:$C$200,P$4,'QC listings'!$F$5:$F$200,"Listing page")+COUNTIFS('QC listings'!$A$5:$A$200,$M68,'QC listings'!$C$5:$C$200,P$4,'QC listings'!$F$5:$F$200,"Brand page")&gt;0,"Y",IF(COUNTIFS('QC listings'!$A$5:$A$200,$M68,'QC listings'!$C$5:$C$200,P$4)&gt;0,"?","–")))</f>
        <v>Y</v>
      </c>
      <c r="Q68" s="12" t="str">
        <f aca="false">IF($M68="","",IF(COUNTIFS('QC listings'!$A$5:$A$200,$M68,'QC listings'!$C$5:$C$200,Q$4,'QC listings'!$F$5:$F$200,"Listing page")+COUNTIFS('QC listings'!$A$5:$A$200,$M68,'QC listings'!$C$5:$C$200,Q$4,'QC listings'!$F$5:$F$200,"Brand page")&gt;0,"Y",IF(COUNTIFS('QC listings'!$A$5:$A$200,$M68,'QC listings'!$C$5:$C$200,Q$4)&gt;0,"?","–")))</f>
        <v>–</v>
      </c>
      <c r="R68" s="12" t="str">
        <f aca="false">IF($M68="","",IF(COUNTIFS('QC listings'!$A$5:$A$200,$M68,'QC listings'!$C$5:$C$200,R$4,'QC listings'!$F$5:$F$200,"Listing page")+COUNTIFS('QC listings'!$A$5:$A$200,$M68,'QC listings'!$C$5:$C$200,R$4,'QC listings'!$F$5:$F$200,"Brand page")&gt;0,"Y",IF(COUNTIFS('QC listings'!$A$5:$A$200,$M68,'QC listings'!$C$5:$C$200,R$4)&gt;0,"?","–")))</f>
        <v>–</v>
      </c>
      <c r="S68" s="12" t="n">
        <f aca="false">IF($M68="","",COUNTIF(O68:R68,"Y"))</f>
        <v>2</v>
      </c>
      <c r="T68" s="23" t="n">
        <f aca="false">IF($M68="","",SUMPRODUCT(MAX(('QC listings'!$A$5:$A$200=$M68)*'QC listings'!$E$5:$E$200)))</f>
        <v>3400</v>
      </c>
      <c r="U68" s="12" t="n">
        <f aca="false">IF($M68="","",IF(T68&gt;=Scoring!$B$11,3,IF(T68&gt;=Scoring!$B$10,2,IF(T68&gt;=Scoring!$B$9,1,0))))</f>
        <v>1</v>
      </c>
      <c r="V68" s="12" t="n">
        <f aca="false">IFERROR(INDEX(Scoring!$B$27:$B$56,MATCH($E68,Scoring!$A$27:$A$56,0)),0)</f>
        <v>0</v>
      </c>
      <c r="W68" s="24" t="n">
        <f aca="false">IF($G68="","",ROUND((Scoring!$B$5-$G68)/30.4375,1))</f>
        <v>14.8</v>
      </c>
      <c r="X68" s="12" t="n">
        <f aca="false">IF($F68="Expired",Scoring!$B$18,IF($G68="",Scoring!$B$17,IF(W68&lt;=Scoring!$B$12,Scoring!$B$13,IF(W68&lt;=Scoring!$B$14,Scoring!$B$15,Scoring!$B$16))))</f>
        <v>1</v>
      </c>
      <c r="Y68" s="15" t="n">
        <f aca="false">IF($M68="","",ROUND((S68*Scoring!$B$6+U68*Scoring!$B$7)*IFERROR(INDEX(Scoring!$B$22:$B$24,MATCH($N68,Scoring!$A$22:$A$24,0)),1)+V68*Scoring!$B$8+X68,2))</f>
        <v>5</v>
      </c>
      <c r="Z68" s="12" t="n">
        <f aca="false">IF($M68="","",IF(SUMPRODUCT(($M$5:$M$249=$M68)*($G$5:$G$249&gt;$G68))&gt;0,0,IF(SUMPRODUCT(($M$5:$M$249=$M68)*($G$5:$G$249=$G68)*(ROW($M$5:$M$249)&lt;ROW($M68)))&gt;0,0,1)))</f>
        <v>1</v>
      </c>
      <c r="AA68" s="12" t="n">
        <f aca="false">IF($Z68=1,RANK($AE68,$AE$5:$AE$249,0),"")</f>
        <v>22</v>
      </c>
      <c r="AB68" s="7" t="s">
        <v>153</v>
      </c>
      <c r="AC68" s="6" t="s">
        <v>162</v>
      </c>
      <c r="AD68" s="6" t="s">
        <v>488</v>
      </c>
      <c r="AE68" s="25" t="n">
        <f aca="false">IF($Z68=1,$Y68+$T68/1000000000-ROW()/10000000,"")</f>
        <v>4.9999966</v>
      </c>
    </row>
    <row r="69" customFormat="false" ht="23.85" hidden="false" customHeight="false" outlineLevel="0" collapsed="false">
      <c r="A69" s="7" t="s">
        <v>489</v>
      </c>
      <c r="B69" s="6" t="s">
        <v>480</v>
      </c>
      <c r="C69" s="6" t="s">
        <v>490</v>
      </c>
      <c r="D69" s="7" t="s">
        <v>145</v>
      </c>
      <c r="E69" s="7" t="s">
        <v>473</v>
      </c>
      <c r="F69" s="12" t="s">
        <v>201</v>
      </c>
      <c r="G69" s="13"/>
      <c r="H69" s="7"/>
      <c r="I69" s="6" t="s">
        <v>202</v>
      </c>
      <c r="J69" s="7" t="s">
        <v>203</v>
      </c>
      <c r="K69" s="12"/>
      <c r="L69" s="10" t="s">
        <v>491</v>
      </c>
      <c r="M69" s="7" t="s">
        <v>487</v>
      </c>
      <c r="N69" s="12" t="s">
        <v>152</v>
      </c>
      <c r="O69" s="12" t="str">
        <f aca="false">IF($M69="","",IF(COUNTIFS('QC listings'!$A$5:$A$200,$M69,'QC listings'!$C$5:$C$200,O$4,'QC listings'!$F$5:$F$200,"Listing page")+COUNTIFS('QC listings'!$A$5:$A$200,$M69,'QC listings'!$C$5:$C$200,O$4,'QC listings'!$F$5:$F$200,"Brand page")&gt;0,"Y",IF(COUNTIFS('QC listings'!$A$5:$A$200,$M69,'QC listings'!$C$5:$C$200,O$4)&gt;0,"?","–")))</f>
        <v>Y</v>
      </c>
      <c r="P69" s="12" t="str">
        <f aca="false">IF($M69="","",IF(COUNTIFS('QC listings'!$A$5:$A$200,$M69,'QC listings'!$C$5:$C$200,P$4,'QC listings'!$F$5:$F$200,"Listing page")+COUNTIFS('QC listings'!$A$5:$A$200,$M69,'QC listings'!$C$5:$C$200,P$4,'QC listings'!$F$5:$F$200,"Brand page")&gt;0,"Y",IF(COUNTIFS('QC listings'!$A$5:$A$200,$M69,'QC listings'!$C$5:$C$200,P$4)&gt;0,"?","–")))</f>
        <v>Y</v>
      </c>
      <c r="Q69" s="12" t="str">
        <f aca="false">IF($M69="","",IF(COUNTIFS('QC listings'!$A$5:$A$200,$M69,'QC listings'!$C$5:$C$200,Q$4,'QC listings'!$F$5:$F$200,"Listing page")+COUNTIFS('QC listings'!$A$5:$A$200,$M69,'QC listings'!$C$5:$C$200,Q$4,'QC listings'!$F$5:$F$200,"Brand page")&gt;0,"Y",IF(COUNTIFS('QC listings'!$A$5:$A$200,$M69,'QC listings'!$C$5:$C$200,Q$4)&gt;0,"?","–")))</f>
        <v>–</v>
      </c>
      <c r="R69" s="12" t="str">
        <f aca="false">IF($M69="","",IF(COUNTIFS('QC listings'!$A$5:$A$200,$M69,'QC listings'!$C$5:$C$200,R$4,'QC listings'!$F$5:$F$200,"Listing page")+COUNTIFS('QC listings'!$A$5:$A$200,$M69,'QC listings'!$C$5:$C$200,R$4,'QC listings'!$F$5:$F$200,"Brand page")&gt;0,"Y",IF(COUNTIFS('QC listings'!$A$5:$A$200,$M69,'QC listings'!$C$5:$C$200,R$4)&gt;0,"?","–")))</f>
        <v>–</v>
      </c>
      <c r="S69" s="12" t="n">
        <f aca="false">IF($M69="","",COUNTIF(O69:R69,"Y"))</f>
        <v>2</v>
      </c>
      <c r="T69" s="23" t="n">
        <f aca="false">IF($M69="","",SUMPRODUCT(MAX(('QC listings'!$A$5:$A$200=$M69)*'QC listings'!$E$5:$E$200)))</f>
        <v>3400</v>
      </c>
      <c r="U69" s="12" t="n">
        <f aca="false">IF($M69="","",IF(T69&gt;=Scoring!$B$11,3,IF(T69&gt;=Scoring!$B$10,2,IF(T69&gt;=Scoring!$B$9,1,0))))</f>
        <v>1</v>
      </c>
      <c r="V69" s="12" t="n">
        <f aca="false">IFERROR(INDEX(Scoring!$B$27:$B$56,MATCH($E69,Scoring!$A$27:$A$56,0)),0)</f>
        <v>0</v>
      </c>
      <c r="W69" s="24" t="str">
        <f aca="false">IF($G69="","",ROUND((Scoring!$B$5-$G69)/30.4375,1))</f>
        <v/>
      </c>
      <c r="X69" s="12" t="n">
        <f aca="false">IF($F69="Expired",Scoring!$B$18,IF($G69="",Scoring!$B$17,IF(W69&lt;=Scoring!$B$12,Scoring!$B$13,IF(W69&lt;=Scoring!$B$14,Scoring!$B$15,Scoring!$B$16))))</f>
        <v>1</v>
      </c>
      <c r="Y69" s="15" t="n">
        <f aca="false">IF($M69="","",ROUND((S69*Scoring!$B$6+U69*Scoring!$B$7)*IFERROR(INDEX(Scoring!$B$22:$B$24,MATCH($N69,Scoring!$A$22:$A$24,0)),1)+V69*Scoring!$B$8+X69,2))</f>
        <v>5</v>
      </c>
      <c r="Z69" s="12" t="n">
        <f aca="false">IF($M69="","",IF(SUMPRODUCT(($M$5:$M$249=$M69)*($G$5:$G$249&gt;$G69))&gt;0,0,IF(SUMPRODUCT(($M$5:$M$249=$M69)*($G$5:$G$249=$G69)*(ROW($M$5:$M$249)&lt;ROW($M69)))&gt;0,0,1)))</f>
        <v>0</v>
      </c>
      <c r="AA69" s="12" t="str">
        <f aca="false">IF($Z69=1,RANK($AE69,$AE$5:$AE$249,0),"")</f>
        <v/>
      </c>
      <c r="AB69" s="7" t="s">
        <v>205</v>
      </c>
      <c r="AC69" s="6" t="s">
        <v>206</v>
      </c>
      <c r="AD69" s="6" t="s">
        <v>488</v>
      </c>
      <c r="AE69" s="25" t="str">
        <f aca="false">IF($Z69=1,$Y69+$T69/1000000000-ROW()/10000000,"")</f>
        <v/>
      </c>
    </row>
    <row r="70" customFormat="false" ht="23.85" hidden="false" customHeight="false" outlineLevel="0" collapsed="false">
      <c r="A70" s="7" t="s">
        <v>492</v>
      </c>
      <c r="B70" s="6" t="s">
        <v>480</v>
      </c>
      <c r="C70" s="6" t="s">
        <v>493</v>
      </c>
      <c r="D70" s="7" t="s">
        <v>145</v>
      </c>
      <c r="E70" s="7" t="s">
        <v>473</v>
      </c>
      <c r="F70" s="12" t="s">
        <v>147</v>
      </c>
      <c r="G70" s="13" t="n">
        <v>45663</v>
      </c>
      <c r="H70" s="7" t="s">
        <v>494</v>
      </c>
      <c r="I70" s="6" t="s">
        <v>149</v>
      </c>
      <c r="J70" s="7" t="s">
        <v>60</v>
      </c>
      <c r="K70" s="12"/>
      <c r="L70" s="10" t="s">
        <v>495</v>
      </c>
      <c r="M70" s="7"/>
      <c r="N70" s="12"/>
      <c r="O70" s="12" t="str">
        <f aca="false">IF($M70="","",IF(COUNTIFS('QC listings'!$A$5:$A$200,$M70,'QC listings'!$C$5:$C$200,O$4,'QC listings'!$F$5:$F$200,"Listing page")+COUNTIFS('QC listings'!$A$5:$A$200,$M70,'QC listings'!$C$5:$C$200,O$4,'QC listings'!$F$5:$F$200,"Brand page")&gt;0,"Y",IF(COUNTIFS('QC listings'!$A$5:$A$200,$M70,'QC listings'!$C$5:$C$200,O$4)&gt;0,"?","–")))</f>
        <v/>
      </c>
      <c r="P70" s="12" t="str">
        <f aca="false">IF($M70="","",IF(COUNTIFS('QC listings'!$A$5:$A$200,$M70,'QC listings'!$C$5:$C$200,P$4,'QC listings'!$F$5:$F$200,"Listing page")+COUNTIFS('QC listings'!$A$5:$A$200,$M70,'QC listings'!$C$5:$C$200,P$4,'QC listings'!$F$5:$F$200,"Brand page")&gt;0,"Y",IF(COUNTIFS('QC listings'!$A$5:$A$200,$M70,'QC listings'!$C$5:$C$200,P$4)&gt;0,"?","–")))</f>
        <v/>
      </c>
      <c r="Q70" s="12" t="str">
        <f aca="false">IF($M70="","",IF(COUNTIFS('QC listings'!$A$5:$A$200,$M70,'QC listings'!$C$5:$C$200,Q$4,'QC listings'!$F$5:$F$200,"Listing page")+COUNTIFS('QC listings'!$A$5:$A$200,$M70,'QC listings'!$C$5:$C$200,Q$4,'QC listings'!$F$5:$F$200,"Brand page")&gt;0,"Y",IF(COUNTIFS('QC listings'!$A$5:$A$200,$M70,'QC listings'!$C$5:$C$200,Q$4)&gt;0,"?","–")))</f>
        <v/>
      </c>
      <c r="R70" s="12" t="str">
        <f aca="false">IF($M70="","",IF(COUNTIFS('QC listings'!$A$5:$A$200,$M70,'QC listings'!$C$5:$C$200,R$4,'QC listings'!$F$5:$F$200,"Listing page")+COUNTIFS('QC listings'!$A$5:$A$200,$M70,'QC listings'!$C$5:$C$200,R$4,'QC listings'!$F$5:$F$200,"Brand page")&gt;0,"Y",IF(COUNTIFS('QC listings'!$A$5:$A$200,$M70,'QC listings'!$C$5:$C$200,R$4)&gt;0,"?","–")))</f>
        <v/>
      </c>
      <c r="S70" s="12" t="str">
        <f aca="false">IF($M70="","",COUNTIF(O70:R70,"Y"))</f>
        <v/>
      </c>
      <c r="T70" s="23" t="str">
        <f aca="false">IF($M70="","",SUMPRODUCT(MAX(('QC listings'!$A$5:$A$200=$M70)*'QC listings'!$E$5:$E$200)))</f>
        <v/>
      </c>
      <c r="U70" s="12" t="str">
        <f aca="false">IF($M70="","",IF(T70&gt;=Scoring!$B$11,3,IF(T70&gt;=Scoring!$B$10,2,IF(T70&gt;=Scoring!$B$9,1,0))))</f>
        <v/>
      </c>
      <c r="V70" s="12" t="n">
        <f aca="false">IFERROR(INDEX(Scoring!$B$27:$B$56,MATCH($E70,Scoring!$A$27:$A$56,0)),0)</f>
        <v>0</v>
      </c>
      <c r="W70" s="24" t="n">
        <f aca="false">IF($G70="","",ROUND((Scoring!$B$5-$G70)/30.4375,1))</f>
        <v>20.8</v>
      </c>
      <c r="X70" s="12" t="n">
        <f aca="false">IF($F70="Expired",Scoring!$B$18,IF($G70="",Scoring!$B$17,IF(W70&lt;=Scoring!$B$12,Scoring!$B$13,IF(W70&lt;=Scoring!$B$14,Scoring!$B$15,Scoring!$B$16))))</f>
        <v>1</v>
      </c>
      <c r="Y70" s="15" t="str">
        <f aca="false">IF($M70="","",ROUND((S70*Scoring!$B$6+U70*Scoring!$B$7)*IFERROR(INDEX(Scoring!$B$22:$B$24,MATCH($N70,Scoring!$A$22:$A$24,0)),1)+V70*Scoring!$B$8+X70,2))</f>
        <v/>
      </c>
      <c r="Z70" s="12" t="str">
        <f aca="false">IF($M70="","",IF(SUMPRODUCT(($M$5:$M$249=$M70)*($G$5:$G$249&gt;$G70))&gt;0,0,IF(SUMPRODUCT(($M$5:$M$249=$M70)*($G$5:$G$249=$G70)*(ROW($M$5:$M$249)&lt;ROW($M70)))&gt;0,0,1)))</f>
        <v/>
      </c>
      <c r="AA70" s="12" t="str">
        <f aca="false">IF($Z70=1,RANK($AE70,$AE$5:$AE$249,0),"")</f>
        <v/>
      </c>
      <c r="AB70" s="7" t="s">
        <v>153</v>
      </c>
      <c r="AC70" s="6" t="s">
        <v>154</v>
      </c>
      <c r="AD70" s="6"/>
      <c r="AE70" s="25" t="str">
        <f aca="false">IF($Z70=1,$Y70+$T70/1000000000-ROW()/10000000,"")</f>
        <v/>
      </c>
    </row>
    <row r="71" customFormat="false" ht="23.85" hidden="false" customHeight="false" outlineLevel="0" collapsed="false">
      <c r="A71" s="7" t="s">
        <v>496</v>
      </c>
      <c r="B71" s="6" t="s">
        <v>497</v>
      </c>
      <c r="C71" s="6" t="s">
        <v>498</v>
      </c>
      <c r="D71" s="7" t="s">
        <v>145</v>
      </c>
      <c r="E71" s="7" t="s">
        <v>473</v>
      </c>
      <c r="F71" s="12" t="s">
        <v>222</v>
      </c>
      <c r="G71" s="13"/>
      <c r="H71" s="7"/>
      <c r="I71" s="6" t="s">
        <v>202</v>
      </c>
      <c r="J71" s="7" t="s">
        <v>203</v>
      </c>
      <c r="K71" s="12" t="s">
        <v>499</v>
      </c>
      <c r="L71" s="10" t="s">
        <v>500</v>
      </c>
      <c r="M71" s="7"/>
      <c r="N71" s="12"/>
      <c r="O71" s="12" t="str">
        <f aca="false">IF($M71="","",IF(COUNTIFS('QC listings'!$A$5:$A$200,$M71,'QC listings'!$C$5:$C$200,O$4,'QC listings'!$F$5:$F$200,"Listing page")+COUNTIFS('QC listings'!$A$5:$A$200,$M71,'QC listings'!$C$5:$C$200,O$4,'QC listings'!$F$5:$F$200,"Brand page")&gt;0,"Y",IF(COUNTIFS('QC listings'!$A$5:$A$200,$M71,'QC listings'!$C$5:$C$200,O$4)&gt;0,"?","–")))</f>
        <v/>
      </c>
      <c r="P71" s="12" t="str">
        <f aca="false">IF($M71="","",IF(COUNTIFS('QC listings'!$A$5:$A$200,$M71,'QC listings'!$C$5:$C$200,P$4,'QC listings'!$F$5:$F$200,"Listing page")+COUNTIFS('QC listings'!$A$5:$A$200,$M71,'QC listings'!$C$5:$C$200,P$4,'QC listings'!$F$5:$F$200,"Brand page")&gt;0,"Y",IF(COUNTIFS('QC listings'!$A$5:$A$200,$M71,'QC listings'!$C$5:$C$200,P$4)&gt;0,"?","–")))</f>
        <v/>
      </c>
      <c r="Q71" s="12" t="str">
        <f aca="false">IF($M71="","",IF(COUNTIFS('QC listings'!$A$5:$A$200,$M71,'QC listings'!$C$5:$C$200,Q$4,'QC listings'!$F$5:$F$200,"Listing page")+COUNTIFS('QC listings'!$A$5:$A$200,$M71,'QC listings'!$C$5:$C$200,Q$4,'QC listings'!$F$5:$F$200,"Brand page")&gt;0,"Y",IF(COUNTIFS('QC listings'!$A$5:$A$200,$M71,'QC listings'!$C$5:$C$200,Q$4)&gt;0,"?","–")))</f>
        <v/>
      </c>
      <c r="R71" s="12" t="str">
        <f aca="false">IF($M71="","",IF(COUNTIFS('QC listings'!$A$5:$A$200,$M71,'QC listings'!$C$5:$C$200,R$4,'QC listings'!$F$5:$F$200,"Listing page")+COUNTIFS('QC listings'!$A$5:$A$200,$M71,'QC listings'!$C$5:$C$200,R$4,'QC listings'!$F$5:$F$200,"Brand page")&gt;0,"Y",IF(COUNTIFS('QC listings'!$A$5:$A$200,$M71,'QC listings'!$C$5:$C$200,R$4)&gt;0,"?","–")))</f>
        <v/>
      </c>
      <c r="S71" s="12" t="str">
        <f aca="false">IF($M71="","",COUNTIF(O71:R71,"Y"))</f>
        <v/>
      </c>
      <c r="T71" s="23" t="str">
        <f aca="false">IF($M71="","",SUMPRODUCT(MAX(('QC listings'!$A$5:$A$200=$M71)*'QC listings'!$E$5:$E$200)))</f>
        <v/>
      </c>
      <c r="U71" s="12" t="str">
        <f aca="false">IF($M71="","",IF(T71&gt;=Scoring!$B$11,3,IF(T71&gt;=Scoring!$B$10,2,IF(T71&gt;=Scoring!$B$9,1,0))))</f>
        <v/>
      </c>
      <c r="V71" s="12" t="n">
        <f aca="false">IFERROR(INDEX(Scoring!$B$27:$B$56,MATCH($E71,Scoring!$A$27:$A$56,0)),0)</f>
        <v>0</v>
      </c>
      <c r="W71" s="24" t="str">
        <f aca="false">IF($G71="","",ROUND((Scoring!$B$5-$G71)/30.4375,1))</f>
        <v/>
      </c>
      <c r="X71" s="12" t="n">
        <f aca="false">IF($F71="Expired",Scoring!$B$18,IF($G71="",Scoring!$B$17,IF(W71&lt;=Scoring!$B$12,Scoring!$B$13,IF(W71&lt;=Scoring!$B$14,Scoring!$B$15,Scoring!$B$16))))</f>
        <v>1</v>
      </c>
      <c r="Y71" s="15" t="str">
        <f aca="false">IF($M71="","",ROUND((S71*Scoring!$B$6+U71*Scoring!$B$7)*IFERROR(INDEX(Scoring!$B$22:$B$24,MATCH($N71,Scoring!$A$22:$A$24,0)),1)+V71*Scoring!$B$8+X71,2))</f>
        <v/>
      </c>
      <c r="Z71" s="12" t="str">
        <f aca="false">IF($M71="","",IF(SUMPRODUCT(($M$5:$M$249=$M71)*($G$5:$G$249&gt;$G71))&gt;0,0,IF(SUMPRODUCT(($M$5:$M$249=$M71)*($G$5:$G$249=$G71)*(ROW($M$5:$M$249)&lt;ROW($M71)))&gt;0,0,1)))</f>
        <v/>
      </c>
      <c r="AA71" s="12" t="str">
        <f aca="false">IF($Z71=1,RANK($AE71,$AE$5:$AE$249,0),"")</f>
        <v/>
      </c>
      <c r="AB71" s="7" t="s">
        <v>205</v>
      </c>
      <c r="AC71" s="6" t="s">
        <v>206</v>
      </c>
      <c r="AD71" s="6"/>
      <c r="AE71" s="25" t="str">
        <f aca="false">IF($Z71=1,$Y71+$T71/1000000000-ROW()/10000000,"")</f>
        <v/>
      </c>
    </row>
    <row r="72" customFormat="false" ht="23.85" hidden="false" customHeight="false" outlineLevel="0" collapsed="false">
      <c r="A72" s="7" t="s">
        <v>501</v>
      </c>
      <c r="B72" s="6" t="s">
        <v>502</v>
      </c>
      <c r="C72" s="6" t="s">
        <v>503</v>
      </c>
      <c r="D72" s="7" t="s">
        <v>145</v>
      </c>
      <c r="E72" s="7" t="s">
        <v>473</v>
      </c>
      <c r="F72" s="12" t="s">
        <v>158</v>
      </c>
      <c r="G72" s="13" t="n">
        <v>45792</v>
      </c>
      <c r="H72" s="7" t="s">
        <v>504</v>
      </c>
      <c r="I72" s="6" t="s">
        <v>149</v>
      </c>
      <c r="J72" s="7" t="s">
        <v>60</v>
      </c>
      <c r="K72" s="12"/>
      <c r="L72" s="10" t="s">
        <v>505</v>
      </c>
      <c r="M72" s="7" t="s">
        <v>506</v>
      </c>
      <c r="N72" s="12" t="s">
        <v>152</v>
      </c>
      <c r="O72" s="12" t="str">
        <f aca="false">IF($M72="","",IF(COUNTIFS('QC listings'!$A$5:$A$200,$M72,'QC listings'!$C$5:$C$200,O$4,'QC listings'!$F$5:$F$200,"Listing page")+COUNTIFS('QC listings'!$A$5:$A$200,$M72,'QC listings'!$C$5:$C$200,O$4,'QC listings'!$F$5:$F$200,"Brand page")&gt;0,"Y",IF(COUNTIFS('QC listings'!$A$5:$A$200,$M72,'QC listings'!$C$5:$C$200,O$4)&gt;0,"?","–")))</f>
        <v>Y</v>
      </c>
      <c r="P72" s="12" t="str">
        <f aca="false">IF($M72="","",IF(COUNTIFS('QC listings'!$A$5:$A$200,$M72,'QC listings'!$C$5:$C$200,P$4,'QC listings'!$F$5:$F$200,"Listing page")+COUNTIFS('QC listings'!$A$5:$A$200,$M72,'QC listings'!$C$5:$C$200,P$4,'QC listings'!$F$5:$F$200,"Brand page")&gt;0,"Y",IF(COUNTIFS('QC listings'!$A$5:$A$200,$M72,'QC listings'!$C$5:$C$200,P$4)&gt;0,"?","–")))</f>
        <v>Y</v>
      </c>
      <c r="Q72" s="12" t="str">
        <f aca="false">IF($M72="","",IF(COUNTIFS('QC listings'!$A$5:$A$200,$M72,'QC listings'!$C$5:$C$200,Q$4,'QC listings'!$F$5:$F$200,"Listing page")+COUNTIFS('QC listings'!$A$5:$A$200,$M72,'QC listings'!$C$5:$C$200,Q$4,'QC listings'!$F$5:$F$200,"Brand page")&gt;0,"Y",IF(COUNTIFS('QC listings'!$A$5:$A$200,$M72,'QC listings'!$C$5:$C$200,Q$4)&gt;0,"?","–")))</f>
        <v>–</v>
      </c>
      <c r="R72" s="12" t="str">
        <f aca="false">IF($M72="","",IF(COUNTIFS('QC listings'!$A$5:$A$200,$M72,'QC listings'!$C$5:$C$200,R$4,'QC listings'!$F$5:$F$200,"Listing page")+COUNTIFS('QC listings'!$A$5:$A$200,$M72,'QC listings'!$C$5:$C$200,R$4,'QC listings'!$F$5:$F$200,"Brand page")&gt;0,"Y",IF(COUNTIFS('QC listings'!$A$5:$A$200,$M72,'QC listings'!$C$5:$C$200,R$4)&gt;0,"?","–")))</f>
        <v>–</v>
      </c>
      <c r="S72" s="12" t="n">
        <f aca="false">IF($M72="","",COUNTIF(O72:R72,"Y"))</f>
        <v>2</v>
      </c>
      <c r="T72" s="23" t="n">
        <f aca="false">IF($M72="","",SUMPRODUCT(MAX(('QC listings'!$A$5:$A$200=$M72)*'QC listings'!$E$5:$E$200)))</f>
        <v>11000</v>
      </c>
      <c r="U72" s="12" t="n">
        <f aca="false">IF($M72="","",IF(T72&gt;=Scoring!$B$11,3,IF(T72&gt;=Scoring!$B$10,2,IF(T72&gt;=Scoring!$B$9,1,0))))</f>
        <v>2</v>
      </c>
      <c r="V72" s="12" t="n">
        <f aca="false">IFERROR(INDEX(Scoring!$B$27:$B$56,MATCH($E72,Scoring!$A$27:$A$56,0)),0)</f>
        <v>0</v>
      </c>
      <c r="W72" s="24" t="n">
        <f aca="false">IF($G72="","",ROUND((Scoring!$B$5-$G72)/30.4375,1))</f>
        <v>16.6</v>
      </c>
      <c r="X72" s="12" t="n">
        <f aca="false">IF($F72="Expired",Scoring!$B$18,IF($G72="",Scoring!$B$17,IF(W72&lt;=Scoring!$B$12,Scoring!$B$13,IF(W72&lt;=Scoring!$B$14,Scoring!$B$15,Scoring!$B$16))))</f>
        <v>1</v>
      </c>
      <c r="Y72" s="15" t="n">
        <f aca="false">IF($M72="","",ROUND((S72*Scoring!$B$6+U72*Scoring!$B$7)*IFERROR(INDEX(Scoring!$B$22:$B$24,MATCH($N72,Scoring!$A$22:$A$24,0)),1)+V72*Scoring!$B$8+X72,2))</f>
        <v>7</v>
      </c>
      <c r="Z72" s="12" t="n">
        <f aca="false">IF($M72="","",IF(SUMPRODUCT(($M$5:$M$249=$M72)*($G$5:$G$249&gt;$G72))&gt;0,0,IF(SUMPRODUCT(($M$5:$M$249=$M72)*($G$5:$G$249=$G72)*(ROW($M$5:$M$249)&lt;ROW($M72)))&gt;0,0,1)))</f>
        <v>1</v>
      </c>
      <c r="AA72" s="12" t="n">
        <f aca="false">IF($Z72=1,RANK($AE72,$AE$5:$AE$249,0),"")</f>
        <v>18</v>
      </c>
      <c r="AB72" s="7" t="s">
        <v>153</v>
      </c>
      <c r="AC72" s="6" t="s">
        <v>162</v>
      </c>
      <c r="AD72" s="6" t="s">
        <v>507</v>
      </c>
      <c r="AE72" s="25" t="n">
        <f aca="false">IF($Z72=1,$Y72+$T72/1000000000-ROW()/10000000,"")</f>
        <v>7.0000038</v>
      </c>
    </row>
    <row r="73" customFormat="false" ht="23.85" hidden="false" customHeight="false" outlineLevel="0" collapsed="false">
      <c r="A73" s="7" t="s">
        <v>508</v>
      </c>
      <c r="B73" s="6" t="s">
        <v>509</v>
      </c>
      <c r="C73" s="6" t="s">
        <v>510</v>
      </c>
      <c r="D73" s="7" t="s">
        <v>145</v>
      </c>
      <c r="E73" s="7" t="s">
        <v>473</v>
      </c>
      <c r="F73" s="12" t="s">
        <v>222</v>
      </c>
      <c r="G73" s="13"/>
      <c r="H73" s="7"/>
      <c r="I73" s="6" t="s">
        <v>202</v>
      </c>
      <c r="J73" s="7" t="s">
        <v>203</v>
      </c>
      <c r="K73" s="12" t="s">
        <v>511</v>
      </c>
      <c r="L73" s="10" t="s">
        <v>512</v>
      </c>
      <c r="M73" s="7"/>
      <c r="N73" s="12"/>
      <c r="O73" s="12" t="str">
        <f aca="false">IF($M73="","",IF(COUNTIFS('QC listings'!$A$5:$A$200,$M73,'QC listings'!$C$5:$C$200,O$4,'QC listings'!$F$5:$F$200,"Listing page")+COUNTIFS('QC listings'!$A$5:$A$200,$M73,'QC listings'!$C$5:$C$200,O$4,'QC listings'!$F$5:$F$200,"Brand page")&gt;0,"Y",IF(COUNTIFS('QC listings'!$A$5:$A$200,$M73,'QC listings'!$C$5:$C$200,O$4)&gt;0,"?","–")))</f>
        <v/>
      </c>
      <c r="P73" s="12" t="str">
        <f aca="false">IF($M73="","",IF(COUNTIFS('QC listings'!$A$5:$A$200,$M73,'QC listings'!$C$5:$C$200,P$4,'QC listings'!$F$5:$F$200,"Listing page")+COUNTIFS('QC listings'!$A$5:$A$200,$M73,'QC listings'!$C$5:$C$200,P$4,'QC listings'!$F$5:$F$200,"Brand page")&gt;0,"Y",IF(COUNTIFS('QC listings'!$A$5:$A$200,$M73,'QC listings'!$C$5:$C$200,P$4)&gt;0,"?","–")))</f>
        <v/>
      </c>
      <c r="Q73" s="12" t="str">
        <f aca="false">IF($M73="","",IF(COUNTIFS('QC listings'!$A$5:$A$200,$M73,'QC listings'!$C$5:$C$200,Q$4,'QC listings'!$F$5:$F$200,"Listing page")+COUNTIFS('QC listings'!$A$5:$A$200,$M73,'QC listings'!$C$5:$C$200,Q$4,'QC listings'!$F$5:$F$200,"Brand page")&gt;0,"Y",IF(COUNTIFS('QC listings'!$A$5:$A$200,$M73,'QC listings'!$C$5:$C$200,Q$4)&gt;0,"?","–")))</f>
        <v/>
      </c>
      <c r="R73" s="12" t="str">
        <f aca="false">IF($M73="","",IF(COUNTIFS('QC listings'!$A$5:$A$200,$M73,'QC listings'!$C$5:$C$200,R$4,'QC listings'!$F$5:$F$200,"Listing page")+COUNTIFS('QC listings'!$A$5:$A$200,$M73,'QC listings'!$C$5:$C$200,R$4,'QC listings'!$F$5:$F$200,"Brand page")&gt;0,"Y",IF(COUNTIFS('QC listings'!$A$5:$A$200,$M73,'QC listings'!$C$5:$C$200,R$4)&gt;0,"?","–")))</f>
        <v/>
      </c>
      <c r="S73" s="12" t="str">
        <f aca="false">IF($M73="","",COUNTIF(O73:R73,"Y"))</f>
        <v/>
      </c>
      <c r="T73" s="23" t="str">
        <f aca="false">IF($M73="","",SUMPRODUCT(MAX(('QC listings'!$A$5:$A$200=$M73)*'QC listings'!$E$5:$E$200)))</f>
        <v/>
      </c>
      <c r="U73" s="12" t="str">
        <f aca="false">IF($M73="","",IF(T73&gt;=Scoring!$B$11,3,IF(T73&gt;=Scoring!$B$10,2,IF(T73&gt;=Scoring!$B$9,1,0))))</f>
        <v/>
      </c>
      <c r="V73" s="12" t="n">
        <f aca="false">IFERROR(INDEX(Scoring!$B$27:$B$56,MATCH($E73,Scoring!$A$27:$A$56,0)),0)</f>
        <v>0</v>
      </c>
      <c r="W73" s="24" t="str">
        <f aca="false">IF($G73="","",ROUND((Scoring!$B$5-$G73)/30.4375,1))</f>
        <v/>
      </c>
      <c r="X73" s="12" t="n">
        <f aca="false">IF($F73="Expired",Scoring!$B$18,IF($G73="",Scoring!$B$17,IF(W73&lt;=Scoring!$B$12,Scoring!$B$13,IF(W73&lt;=Scoring!$B$14,Scoring!$B$15,Scoring!$B$16))))</f>
        <v>1</v>
      </c>
      <c r="Y73" s="15" t="str">
        <f aca="false">IF($M73="","",ROUND((S73*Scoring!$B$6+U73*Scoring!$B$7)*IFERROR(INDEX(Scoring!$B$22:$B$24,MATCH($N73,Scoring!$A$22:$A$24,0)),1)+V73*Scoring!$B$8+X73,2))</f>
        <v/>
      </c>
      <c r="Z73" s="12" t="str">
        <f aca="false">IF($M73="","",IF(SUMPRODUCT(($M$5:$M$249=$M73)*($G$5:$G$249&gt;$G73))&gt;0,0,IF(SUMPRODUCT(($M$5:$M$249=$M73)*($G$5:$G$249=$G73)*(ROW($M$5:$M$249)&lt;ROW($M73)))&gt;0,0,1)))</f>
        <v/>
      </c>
      <c r="AA73" s="12" t="str">
        <f aca="false">IF($Z73=1,RANK($AE73,$AE$5:$AE$249,0),"")</f>
        <v/>
      </c>
      <c r="AB73" s="7" t="s">
        <v>205</v>
      </c>
      <c r="AC73" s="6" t="s">
        <v>206</v>
      </c>
      <c r="AD73" s="6"/>
      <c r="AE73" s="25" t="str">
        <f aca="false">IF($Z73=1,$Y73+$T73/1000000000-ROW()/10000000,"")</f>
        <v/>
      </c>
    </row>
    <row r="74" customFormat="false" ht="23.85" hidden="false" customHeight="false" outlineLevel="0" collapsed="false">
      <c r="A74" s="7" t="s">
        <v>513</v>
      </c>
      <c r="B74" s="6" t="s">
        <v>514</v>
      </c>
      <c r="C74" s="6" t="s">
        <v>515</v>
      </c>
      <c r="D74" s="7" t="s">
        <v>145</v>
      </c>
      <c r="E74" s="7" t="s">
        <v>516</v>
      </c>
      <c r="F74" s="12" t="s">
        <v>158</v>
      </c>
      <c r="G74" s="13" t="n">
        <v>45977</v>
      </c>
      <c r="H74" s="7" t="s">
        <v>517</v>
      </c>
      <c r="I74" s="6" t="s">
        <v>149</v>
      </c>
      <c r="J74" s="7" t="s">
        <v>60</v>
      </c>
      <c r="K74" s="12"/>
      <c r="L74" s="10" t="s">
        <v>518</v>
      </c>
      <c r="M74" s="7" t="s">
        <v>519</v>
      </c>
      <c r="N74" s="12" t="s">
        <v>152</v>
      </c>
      <c r="O74" s="12" t="str">
        <f aca="false">IF($M74="","",IF(COUNTIFS('QC listings'!$A$5:$A$200,$M74,'QC listings'!$C$5:$C$200,O$4,'QC listings'!$F$5:$F$200,"Listing page")+COUNTIFS('QC listings'!$A$5:$A$200,$M74,'QC listings'!$C$5:$C$200,O$4,'QC listings'!$F$5:$F$200,"Brand page")&gt;0,"Y",IF(COUNTIFS('QC listings'!$A$5:$A$200,$M74,'QC listings'!$C$5:$C$200,O$4)&gt;0,"?","–")))</f>
        <v>Y</v>
      </c>
      <c r="P74" s="12" t="str">
        <f aca="false">IF($M74="","",IF(COUNTIFS('QC listings'!$A$5:$A$200,$M74,'QC listings'!$C$5:$C$200,P$4,'QC listings'!$F$5:$F$200,"Listing page")+COUNTIFS('QC listings'!$A$5:$A$200,$M74,'QC listings'!$C$5:$C$200,P$4,'QC listings'!$F$5:$F$200,"Brand page")&gt;0,"Y",IF(COUNTIFS('QC listings'!$A$5:$A$200,$M74,'QC listings'!$C$5:$C$200,P$4)&gt;0,"?","–")))</f>
        <v>Y</v>
      </c>
      <c r="Q74" s="12" t="str">
        <f aca="false">IF($M74="","",IF(COUNTIFS('QC listings'!$A$5:$A$200,$M74,'QC listings'!$C$5:$C$200,Q$4,'QC listings'!$F$5:$F$200,"Listing page")+COUNTIFS('QC listings'!$A$5:$A$200,$M74,'QC listings'!$C$5:$C$200,Q$4,'QC listings'!$F$5:$F$200,"Brand page")&gt;0,"Y",IF(COUNTIFS('QC listings'!$A$5:$A$200,$M74,'QC listings'!$C$5:$C$200,Q$4)&gt;0,"?","–")))</f>
        <v>–</v>
      </c>
      <c r="R74" s="12" t="str">
        <f aca="false">IF($M74="","",IF(COUNTIFS('QC listings'!$A$5:$A$200,$M74,'QC listings'!$C$5:$C$200,R$4,'QC listings'!$F$5:$F$200,"Listing page")+COUNTIFS('QC listings'!$A$5:$A$200,$M74,'QC listings'!$C$5:$C$200,R$4,'QC listings'!$F$5:$F$200,"Brand page")&gt;0,"Y",IF(COUNTIFS('QC listings'!$A$5:$A$200,$M74,'QC listings'!$C$5:$C$200,R$4)&gt;0,"?","–")))</f>
        <v>Y</v>
      </c>
      <c r="S74" s="12" t="n">
        <f aca="false">IF($M74="","",COUNTIF(O74:R74,"Y"))</f>
        <v>3</v>
      </c>
      <c r="T74" s="23" t="n">
        <f aca="false">IF($M74="","",SUMPRODUCT(MAX(('QC listings'!$A$5:$A$200=$M74)*'QC listings'!$E$5:$E$200)))</f>
        <v>0</v>
      </c>
      <c r="U74" s="12" t="n">
        <f aca="false">IF($M74="","",IF(T74&gt;=Scoring!$B$11,3,IF(T74&gt;=Scoring!$B$10,2,IF(T74&gt;=Scoring!$B$9,1,0))))</f>
        <v>0</v>
      </c>
      <c r="V74" s="12" t="n">
        <f aca="false">IFERROR(INDEX(Scoring!$B$27:$B$56,MATCH($E74,Scoring!$A$27:$A$56,0)),0)</f>
        <v>0</v>
      </c>
      <c r="W74" s="24" t="n">
        <f aca="false">IF($G74="","",ROUND((Scoring!$B$5-$G74)/30.4375,1))</f>
        <v>10.5</v>
      </c>
      <c r="X74" s="12" t="n">
        <f aca="false">IF($F74="Expired",Scoring!$B$18,IF($G74="",Scoring!$B$17,IF(W74&lt;=Scoring!$B$12,Scoring!$B$13,IF(W74&lt;=Scoring!$B$14,Scoring!$B$15,Scoring!$B$16))))</f>
        <v>2</v>
      </c>
      <c r="Y74" s="15" t="n">
        <f aca="false">IF($M74="","",ROUND((S74*Scoring!$B$6+U74*Scoring!$B$7)*IFERROR(INDEX(Scoring!$B$22:$B$24,MATCH($N74,Scoring!$A$22:$A$24,0)),1)+V74*Scoring!$B$8+X74,2))</f>
        <v>5</v>
      </c>
      <c r="Z74" s="12" t="n">
        <f aca="false">IF($M74="","",IF(SUMPRODUCT(($M$5:$M$249=$M74)*($G$5:$G$249&gt;$G74))&gt;0,0,IF(SUMPRODUCT(($M$5:$M$249=$M74)*($G$5:$G$249=$G74)*(ROW($M$5:$M$249)&lt;ROW($M74)))&gt;0,0,1)))</f>
        <v>1</v>
      </c>
      <c r="AA74" s="12" t="n">
        <f aca="false">IF($Z74=1,RANK($AE74,$AE$5:$AE$249,0),"")</f>
        <v>23</v>
      </c>
      <c r="AB74" s="7" t="s">
        <v>153</v>
      </c>
      <c r="AC74" s="6" t="s">
        <v>162</v>
      </c>
      <c r="AD74" s="6" t="s">
        <v>457</v>
      </c>
      <c r="AE74" s="25" t="n">
        <f aca="false">IF($Z74=1,$Y74+$T74/1000000000-ROW()/10000000,"")</f>
        <v>4.9999926</v>
      </c>
    </row>
    <row r="75" customFormat="false" ht="23.85" hidden="false" customHeight="false" outlineLevel="0" collapsed="false">
      <c r="A75" s="7" t="s">
        <v>520</v>
      </c>
      <c r="B75" s="6" t="s">
        <v>379</v>
      </c>
      <c r="C75" s="6" t="s">
        <v>521</v>
      </c>
      <c r="D75" s="7" t="s">
        <v>145</v>
      </c>
      <c r="E75" s="7" t="s">
        <v>522</v>
      </c>
      <c r="F75" s="12" t="s">
        <v>201</v>
      </c>
      <c r="G75" s="13"/>
      <c r="H75" s="7"/>
      <c r="I75" s="6" t="s">
        <v>202</v>
      </c>
      <c r="J75" s="7" t="s">
        <v>203</v>
      </c>
      <c r="K75" s="12"/>
      <c r="L75" s="10" t="s">
        <v>523</v>
      </c>
      <c r="M75" s="7"/>
      <c r="N75" s="12"/>
      <c r="O75" s="12" t="str">
        <f aca="false">IF($M75="","",IF(COUNTIFS('QC listings'!$A$5:$A$200,$M75,'QC listings'!$C$5:$C$200,O$4,'QC listings'!$F$5:$F$200,"Listing page")+COUNTIFS('QC listings'!$A$5:$A$200,$M75,'QC listings'!$C$5:$C$200,O$4,'QC listings'!$F$5:$F$200,"Brand page")&gt;0,"Y",IF(COUNTIFS('QC listings'!$A$5:$A$200,$M75,'QC listings'!$C$5:$C$200,O$4)&gt;0,"?","–")))</f>
        <v/>
      </c>
      <c r="P75" s="12" t="str">
        <f aca="false">IF($M75="","",IF(COUNTIFS('QC listings'!$A$5:$A$200,$M75,'QC listings'!$C$5:$C$200,P$4,'QC listings'!$F$5:$F$200,"Listing page")+COUNTIFS('QC listings'!$A$5:$A$200,$M75,'QC listings'!$C$5:$C$200,P$4,'QC listings'!$F$5:$F$200,"Brand page")&gt;0,"Y",IF(COUNTIFS('QC listings'!$A$5:$A$200,$M75,'QC listings'!$C$5:$C$200,P$4)&gt;0,"?","–")))</f>
        <v/>
      </c>
      <c r="Q75" s="12" t="str">
        <f aca="false">IF($M75="","",IF(COUNTIFS('QC listings'!$A$5:$A$200,$M75,'QC listings'!$C$5:$C$200,Q$4,'QC listings'!$F$5:$F$200,"Listing page")+COUNTIFS('QC listings'!$A$5:$A$200,$M75,'QC listings'!$C$5:$C$200,Q$4,'QC listings'!$F$5:$F$200,"Brand page")&gt;0,"Y",IF(COUNTIFS('QC listings'!$A$5:$A$200,$M75,'QC listings'!$C$5:$C$200,Q$4)&gt;0,"?","–")))</f>
        <v/>
      </c>
      <c r="R75" s="12" t="str">
        <f aca="false">IF($M75="","",IF(COUNTIFS('QC listings'!$A$5:$A$200,$M75,'QC listings'!$C$5:$C$200,R$4,'QC listings'!$F$5:$F$200,"Listing page")+COUNTIFS('QC listings'!$A$5:$A$200,$M75,'QC listings'!$C$5:$C$200,R$4,'QC listings'!$F$5:$F$200,"Brand page")&gt;0,"Y",IF(COUNTIFS('QC listings'!$A$5:$A$200,$M75,'QC listings'!$C$5:$C$200,R$4)&gt;0,"?","–")))</f>
        <v/>
      </c>
      <c r="S75" s="12" t="str">
        <f aca="false">IF($M75="","",COUNTIF(O75:R75,"Y"))</f>
        <v/>
      </c>
      <c r="T75" s="23" t="str">
        <f aca="false">IF($M75="","",SUMPRODUCT(MAX(('QC listings'!$A$5:$A$200=$M75)*'QC listings'!$E$5:$E$200)))</f>
        <v/>
      </c>
      <c r="U75" s="12" t="str">
        <f aca="false">IF($M75="","",IF(T75&gt;=Scoring!$B$11,3,IF(T75&gt;=Scoring!$B$10,2,IF(T75&gt;=Scoring!$B$9,1,0))))</f>
        <v/>
      </c>
      <c r="V75" s="12" t="n">
        <f aca="false">IFERROR(INDEX(Scoring!$B$27:$B$56,MATCH($E75,Scoring!$A$27:$A$56,0)),0)</f>
        <v>0</v>
      </c>
      <c r="W75" s="24" t="str">
        <f aca="false">IF($G75="","",ROUND((Scoring!$B$5-$G75)/30.4375,1))</f>
        <v/>
      </c>
      <c r="X75" s="12" t="n">
        <f aca="false">IF($F75="Expired",Scoring!$B$18,IF($G75="",Scoring!$B$17,IF(W75&lt;=Scoring!$B$12,Scoring!$B$13,IF(W75&lt;=Scoring!$B$14,Scoring!$B$15,Scoring!$B$16))))</f>
        <v>1</v>
      </c>
      <c r="Y75" s="15" t="str">
        <f aca="false">IF($M75="","",ROUND((S75*Scoring!$B$6+U75*Scoring!$B$7)*IFERROR(INDEX(Scoring!$B$22:$B$24,MATCH($N75,Scoring!$A$22:$A$24,0)),1)+V75*Scoring!$B$8+X75,2))</f>
        <v/>
      </c>
      <c r="Z75" s="12" t="str">
        <f aca="false">IF($M75="","",IF(SUMPRODUCT(($M$5:$M$249=$M75)*($G$5:$G$249&gt;$G75))&gt;0,0,IF(SUMPRODUCT(($M$5:$M$249=$M75)*($G$5:$G$249=$G75)*(ROW($M$5:$M$249)&lt;ROW($M75)))&gt;0,0,1)))</f>
        <v/>
      </c>
      <c r="AA75" s="12" t="str">
        <f aca="false">IF($Z75=1,RANK($AE75,$AE$5:$AE$249,0),"")</f>
        <v/>
      </c>
      <c r="AB75" s="7" t="s">
        <v>205</v>
      </c>
      <c r="AC75" s="6" t="s">
        <v>206</v>
      </c>
      <c r="AD75" s="6"/>
      <c r="AE75" s="25" t="str">
        <f aca="false">IF($Z75=1,$Y75+$T75/1000000000-ROW()/10000000,"")</f>
        <v/>
      </c>
    </row>
    <row r="76" customFormat="false" ht="23.85" hidden="false" customHeight="false" outlineLevel="0" collapsed="false">
      <c r="A76" s="7" t="s">
        <v>524</v>
      </c>
      <c r="B76" s="6" t="s">
        <v>525</v>
      </c>
      <c r="C76" s="6" t="s">
        <v>526</v>
      </c>
      <c r="D76" s="7" t="s">
        <v>145</v>
      </c>
      <c r="E76" s="7" t="s">
        <v>522</v>
      </c>
      <c r="F76" s="12" t="s">
        <v>201</v>
      </c>
      <c r="G76" s="13"/>
      <c r="H76" s="7"/>
      <c r="I76" s="6" t="s">
        <v>202</v>
      </c>
      <c r="J76" s="7" t="s">
        <v>203</v>
      </c>
      <c r="K76" s="12"/>
      <c r="L76" s="10" t="s">
        <v>527</v>
      </c>
      <c r="M76" s="7"/>
      <c r="N76" s="12"/>
      <c r="O76" s="12" t="str">
        <f aca="false">IF($M76="","",IF(COUNTIFS('QC listings'!$A$5:$A$200,$M76,'QC listings'!$C$5:$C$200,O$4,'QC listings'!$F$5:$F$200,"Listing page")+COUNTIFS('QC listings'!$A$5:$A$200,$M76,'QC listings'!$C$5:$C$200,O$4,'QC listings'!$F$5:$F$200,"Brand page")&gt;0,"Y",IF(COUNTIFS('QC listings'!$A$5:$A$200,$M76,'QC listings'!$C$5:$C$200,O$4)&gt;0,"?","–")))</f>
        <v/>
      </c>
      <c r="P76" s="12" t="str">
        <f aca="false">IF($M76="","",IF(COUNTIFS('QC listings'!$A$5:$A$200,$M76,'QC listings'!$C$5:$C$200,P$4,'QC listings'!$F$5:$F$200,"Listing page")+COUNTIFS('QC listings'!$A$5:$A$200,$M76,'QC listings'!$C$5:$C$200,P$4,'QC listings'!$F$5:$F$200,"Brand page")&gt;0,"Y",IF(COUNTIFS('QC listings'!$A$5:$A$200,$M76,'QC listings'!$C$5:$C$200,P$4)&gt;0,"?","–")))</f>
        <v/>
      </c>
      <c r="Q76" s="12" t="str">
        <f aca="false">IF($M76="","",IF(COUNTIFS('QC listings'!$A$5:$A$200,$M76,'QC listings'!$C$5:$C$200,Q$4,'QC listings'!$F$5:$F$200,"Listing page")+COUNTIFS('QC listings'!$A$5:$A$200,$M76,'QC listings'!$C$5:$C$200,Q$4,'QC listings'!$F$5:$F$200,"Brand page")&gt;0,"Y",IF(COUNTIFS('QC listings'!$A$5:$A$200,$M76,'QC listings'!$C$5:$C$200,Q$4)&gt;0,"?","–")))</f>
        <v/>
      </c>
      <c r="R76" s="12" t="str">
        <f aca="false">IF($M76="","",IF(COUNTIFS('QC listings'!$A$5:$A$200,$M76,'QC listings'!$C$5:$C$200,R$4,'QC listings'!$F$5:$F$200,"Listing page")+COUNTIFS('QC listings'!$A$5:$A$200,$M76,'QC listings'!$C$5:$C$200,R$4,'QC listings'!$F$5:$F$200,"Brand page")&gt;0,"Y",IF(COUNTIFS('QC listings'!$A$5:$A$200,$M76,'QC listings'!$C$5:$C$200,R$4)&gt;0,"?","–")))</f>
        <v/>
      </c>
      <c r="S76" s="12" t="str">
        <f aca="false">IF($M76="","",COUNTIF(O76:R76,"Y"))</f>
        <v/>
      </c>
      <c r="T76" s="23" t="str">
        <f aca="false">IF($M76="","",SUMPRODUCT(MAX(('QC listings'!$A$5:$A$200=$M76)*'QC listings'!$E$5:$E$200)))</f>
        <v/>
      </c>
      <c r="U76" s="12" t="str">
        <f aca="false">IF($M76="","",IF(T76&gt;=Scoring!$B$11,3,IF(T76&gt;=Scoring!$B$10,2,IF(T76&gt;=Scoring!$B$9,1,0))))</f>
        <v/>
      </c>
      <c r="V76" s="12" t="n">
        <f aca="false">IFERROR(INDEX(Scoring!$B$27:$B$56,MATCH($E76,Scoring!$A$27:$A$56,0)),0)</f>
        <v>0</v>
      </c>
      <c r="W76" s="24" t="str">
        <f aca="false">IF($G76="","",ROUND((Scoring!$B$5-$G76)/30.4375,1))</f>
        <v/>
      </c>
      <c r="X76" s="12" t="n">
        <f aca="false">IF($F76="Expired",Scoring!$B$18,IF($G76="",Scoring!$B$17,IF(W76&lt;=Scoring!$B$12,Scoring!$B$13,IF(W76&lt;=Scoring!$B$14,Scoring!$B$15,Scoring!$B$16))))</f>
        <v>1</v>
      </c>
      <c r="Y76" s="15" t="str">
        <f aca="false">IF($M76="","",ROUND((S76*Scoring!$B$6+U76*Scoring!$B$7)*IFERROR(INDEX(Scoring!$B$22:$B$24,MATCH($N76,Scoring!$A$22:$A$24,0)),1)+V76*Scoring!$B$8+X76,2))</f>
        <v/>
      </c>
      <c r="Z76" s="12" t="str">
        <f aca="false">IF($M76="","",IF(SUMPRODUCT(($M$5:$M$249=$M76)*($G$5:$G$249&gt;$G76))&gt;0,0,IF(SUMPRODUCT(($M$5:$M$249=$M76)*($G$5:$G$249=$G76)*(ROW($M$5:$M$249)&lt;ROW($M76)))&gt;0,0,1)))</f>
        <v/>
      </c>
      <c r="AA76" s="12" t="str">
        <f aca="false">IF($Z76=1,RANK($AE76,$AE$5:$AE$249,0),"")</f>
        <v/>
      </c>
      <c r="AB76" s="7" t="s">
        <v>205</v>
      </c>
      <c r="AC76" s="6" t="s">
        <v>206</v>
      </c>
      <c r="AD76" s="6"/>
      <c r="AE76" s="25" t="str">
        <f aca="false">IF($Z76=1,$Y76+$T76/1000000000-ROW()/10000000,"")</f>
        <v/>
      </c>
    </row>
    <row r="77" customFormat="false" ht="23.85" hidden="false" customHeight="false" outlineLevel="0" collapsed="false">
      <c r="A77" s="7" t="s">
        <v>528</v>
      </c>
      <c r="B77" s="6" t="s">
        <v>529</v>
      </c>
      <c r="C77" s="6" t="s">
        <v>530</v>
      </c>
      <c r="D77" s="7" t="s">
        <v>145</v>
      </c>
      <c r="E77" s="7" t="s">
        <v>522</v>
      </c>
      <c r="F77" s="12" t="s">
        <v>201</v>
      </c>
      <c r="G77" s="13"/>
      <c r="H77" s="7"/>
      <c r="I77" s="6" t="s">
        <v>202</v>
      </c>
      <c r="J77" s="7" t="s">
        <v>203</v>
      </c>
      <c r="K77" s="12"/>
      <c r="L77" s="10" t="s">
        <v>531</v>
      </c>
      <c r="M77" s="7"/>
      <c r="N77" s="12"/>
      <c r="O77" s="12" t="str">
        <f aca="false">IF($M77="","",IF(COUNTIFS('QC listings'!$A$5:$A$200,$M77,'QC listings'!$C$5:$C$200,O$4,'QC listings'!$F$5:$F$200,"Listing page")+COUNTIFS('QC listings'!$A$5:$A$200,$M77,'QC listings'!$C$5:$C$200,O$4,'QC listings'!$F$5:$F$200,"Brand page")&gt;0,"Y",IF(COUNTIFS('QC listings'!$A$5:$A$200,$M77,'QC listings'!$C$5:$C$200,O$4)&gt;0,"?","–")))</f>
        <v/>
      </c>
      <c r="P77" s="12" t="str">
        <f aca="false">IF($M77="","",IF(COUNTIFS('QC listings'!$A$5:$A$200,$M77,'QC listings'!$C$5:$C$200,P$4,'QC listings'!$F$5:$F$200,"Listing page")+COUNTIFS('QC listings'!$A$5:$A$200,$M77,'QC listings'!$C$5:$C$200,P$4,'QC listings'!$F$5:$F$200,"Brand page")&gt;0,"Y",IF(COUNTIFS('QC listings'!$A$5:$A$200,$M77,'QC listings'!$C$5:$C$200,P$4)&gt;0,"?","–")))</f>
        <v/>
      </c>
      <c r="Q77" s="12" t="str">
        <f aca="false">IF($M77="","",IF(COUNTIFS('QC listings'!$A$5:$A$200,$M77,'QC listings'!$C$5:$C$200,Q$4,'QC listings'!$F$5:$F$200,"Listing page")+COUNTIFS('QC listings'!$A$5:$A$200,$M77,'QC listings'!$C$5:$C$200,Q$4,'QC listings'!$F$5:$F$200,"Brand page")&gt;0,"Y",IF(COUNTIFS('QC listings'!$A$5:$A$200,$M77,'QC listings'!$C$5:$C$200,Q$4)&gt;0,"?","–")))</f>
        <v/>
      </c>
      <c r="R77" s="12" t="str">
        <f aca="false">IF($M77="","",IF(COUNTIFS('QC listings'!$A$5:$A$200,$M77,'QC listings'!$C$5:$C$200,R$4,'QC listings'!$F$5:$F$200,"Listing page")+COUNTIFS('QC listings'!$A$5:$A$200,$M77,'QC listings'!$C$5:$C$200,R$4,'QC listings'!$F$5:$F$200,"Brand page")&gt;0,"Y",IF(COUNTIFS('QC listings'!$A$5:$A$200,$M77,'QC listings'!$C$5:$C$200,R$4)&gt;0,"?","–")))</f>
        <v/>
      </c>
      <c r="S77" s="12" t="str">
        <f aca="false">IF($M77="","",COUNTIF(O77:R77,"Y"))</f>
        <v/>
      </c>
      <c r="T77" s="23" t="str">
        <f aca="false">IF($M77="","",SUMPRODUCT(MAX(('QC listings'!$A$5:$A$200=$M77)*'QC listings'!$E$5:$E$200)))</f>
        <v/>
      </c>
      <c r="U77" s="12" t="str">
        <f aca="false">IF($M77="","",IF(T77&gt;=Scoring!$B$11,3,IF(T77&gt;=Scoring!$B$10,2,IF(T77&gt;=Scoring!$B$9,1,0))))</f>
        <v/>
      </c>
      <c r="V77" s="12" t="n">
        <f aca="false">IFERROR(INDEX(Scoring!$B$27:$B$56,MATCH($E77,Scoring!$A$27:$A$56,0)),0)</f>
        <v>0</v>
      </c>
      <c r="W77" s="24" t="str">
        <f aca="false">IF($G77="","",ROUND((Scoring!$B$5-$G77)/30.4375,1))</f>
        <v/>
      </c>
      <c r="X77" s="12" t="n">
        <f aca="false">IF($F77="Expired",Scoring!$B$18,IF($G77="",Scoring!$B$17,IF(W77&lt;=Scoring!$B$12,Scoring!$B$13,IF(W77&lt;=Scoring!$B$14,Scoring!$B$15,Scoring!$B$16))))</f>
        <v>1</v>
      </c>
      <c r="Y77" s="15" t="str">
        <f aca="false">IF($M77="","",ROUND((S77*Scoring!$B$6+U77*Scoring!$B$7)*IFERROR(INDEX(Scoring!$B$22:$B$24,MATCH($N77,Scoring!$A$22:$A$24,0)),1)+V77*Scoring!$B$8+X77,2))</f>
        <v/>
      </c>
      <c r="Z77" s="12" t="str">
        <f aca="false">IF($M77="","",IF(SUMPRODUCT(($M$5:$M$249=$M77)*($G$5:$G$249&gt;$G77))&gt;0,0,IF(SUMPRODUCT(($M$5:$M$249=$M77)*($G$5:$G$249=$G77)*(ROW($M$5:$M$249)&lt;ROW($M77)))&gt;0,0,1)))</f>
        <v/>
      </c>
      <c r="AA77" s="12" t="str">
        <f aca="false">IF($Z77=1,RANK($AE77,$AE$5:$AE$249,0),"")</f>
        <v/>
      </c>
      <c r="AB77" s="7" t="s">
        <v>205</v>
      </c>
      <c r="AC77" s="6" t="s">
        <v>206</v>
      </c>
      <c r="AD77" s="6"/>
      <c r="AE77" s="25" t="str">
        <f aca="false">IF($Z77=1,$Y77+$T77/1000000000-ROW()/10000000,"")</f>
        <v/>
      </c>
    </row>
    <row r="78" customFormat="false" ht="23.85" hidden="false" customHeight="false" outlineLevel="0" collapsed="false">
      <c r="A78" s="7" t="s">
        <v>532</v>
      </c>
      <c r="B78" s="6" t="s">
        <v>533</v>
      </c>
      <c r="C78" s="6" t="s">
        <v>534</v>
      </c>
      <c r="D78" s="7" t="s">
        <v>145</v>
      </c>
      <c r="E78" s="7" t="s">
        <v>522</v>
      </c>
      <c r="F78" s="12" t="s">
        <v>222</v>
      </c>
      <c r="G78" s="13"/>
      <c r="H78" s="7"/>
      <c r="I78" s="6" t="s">
        <v>202</v>
      </c>
      <c r="J78" s="7" t="s">
        <v>203</v>
      </c>
      <c r="K78" s="12" t="s">
        <v>238</v>
      </c>
      <c r="L78" s="10" t="s">
        <v>535</v>
      </c>
      <c r="M78" s="7"/>
      <c r="N78" s="12"/>
      <c r="O78" s="12" t="str">
        <f aca="false">IF($M78="","",IF(COUNTIFS('QC listings'!$A$5:$A$200,$M78,'QC listings'!$C$5:$C$200,O$4,'QC listings'!$F$5:$F$200,"Listing page")+COUNTIFS('QC listings'!$A$5:$A$200,$M78,'QC listings'!$C$5:$C$200,O$4,'QC listings'!$F$5:$F$200,"Brand page")&gt;0,"Y",IF(COUNTIFS('QC listings'!$A$5:$A$200,$M78,'QC listings'!$C$5:$C$200,O$4)&gt;0,"?","–")))</f>
        <v/>
      </c>
      <c r="P78" s="12" t="str">
        <f aca="false">IF($M78="","",IF(COUNTIFS('QC listings'!$A$5:$A$200,$M78,'QC listings'!$C$5:$C$200,P$4,'QC listings'!$F$5:$F$200,"Listing page")+COUNTIFS('QC listings'!$A$5:$A$200,$M78,'QC listings'!$C$5:$C$200,P$4,'QC listings'!$F$5:$F$200,"Brand page")&gt;0,"Y",IF(COUNTIFS('QC listings'!$A$5:$A$200,$M78,'QC listings'!$C$5:$C$200,P$4)&gt;0,"?","–")))</f>
        <v/>
      </c>
      <c r="Q78" s="12" t="str">
        <f aca="false">IF($M78="","",IF(COUNTIFS('QC listings'!$A$5:$A$200,$M78,'QC listings'!$C$5:$C$200,Q$4,'QC listings'!$F$5:$F$200,"Listing page")+COUNTIFS('QC listings'!$A$5:$A$200,$M78,'QC listings'!$C$5:$C$200,Q$4,'QC listings'!$F$5:$F$200,"Brand page")&gt;0,"Y",IF(COUNTIFS('QC listings'!$A$5:$A$200,$M78,'QC listings'!$C$5:$C$200,Q$4)&gt;0,"?","–")))</f>
        <v/>
      </c>
      <c r="R78" s="12" t="str">
        <f aca="false">IF($M78="","",IF(COUNTIFS('QC listings'!$A$5:$A$200,$M78,'QC listings'!$C$5:$C$200,R$4,'QC listings'!$F$5:$F$200,"Listing page")+COUNTIFS('QC listings'!$A$5:$A$200,$M78,'QC listings'!$C$5:$C$200,R$4,'QC listings'!$F$5:$F$200,"Brand page")&gt;0,"Y",IF(COUNTIFS('QC listings'!$A$5:$A$200,$M78,'QC listings'!$C$5:$C$200,R$4)&gt;0,"?","–")))</f>
        <v/>
      </c>
      <c r="S78" s="12" t="str">
        <f aca="false">IF($M78="","",COUNTIF(O78:R78,"Y"))</f>
        <v/>
      </c>
      <c r="T78" s="23" t="str">
        <f aca="false">IF($M78="","",SUMPRODUCT(MAX(('QC listings'!$A$5:$A$200=$M78)*'QC listings'!$E$5:$E$200)))</f>
        <v/>
      </c>
      <c r="U78" s="12" t="str">
        <f aca="false">IF($M78="","",IF(T78&gt;=Scoring!$B$11,3,IF(T78&gt;=Scoring!$B$10,2,IF(T78&gt;=Scoring!$B$9,1,0))))</f>
        <v/>
      </c>
      <c r="V78" s="12" t="n">
        <f aca="false">IFERROR(INDEX(Scoring!$B$27:$B$56,MATCH($E78,Scoring!$A$27:$A$56,0)),0)</f>
        <v>0</v>
      </c>
      <c r="W78" s="24" t="str">
        <f aca="false">IF($G78="","",ROUND((Scoring!$B$5-$G78)/30.4375,1))</f>
        <v/>
      </c>
      <c r="X78" s="12" t="n">
        <f aca="false">IF($F78="Expired",Scoring!$B$18,IF($G78="",Scoring!$B$17,IF(W78&lt;=Scoring!$B$12,Scoring!$B$13,IF(W78&lt;=Scoring!$B$14,Scoring!$B$15,Scoring!$B$16))))</f>
        <v>1</v>
      </c>
      <c r="Y78" s="15" t="str">
        <f aca="false">IF($M78="","",ROUND((S78*Scoring!$B$6+U78*Scoring!$B$7)*IFERROR(INDEX(Scoring!$B$22:$B$24,MATCH($N78,Scoring!$A$22:$A$24,0)),1)+V78*Scoring!$B$8+X78,2))</f>
        <v/>
      </c>
      <c r="Z78" s="12" t="str">
        <f aca="false">IF($M78="","",IF(SUMPRODUCT(($M$5:$M$249=$M78)*($G$5:$G$249&gt;$G78))&gt;0,0,IF(SUMPRODUCT(($M$5:$M$249=$M78)*($G$5:$G$249=$G78)*(ROW($M$5:$M$249)&lt;ROW($M78)))&gt;0,0,1)))</f>
        <v/>
      </c>
      <c r="AA78" s="12" t="str">
        <f aca="false">IF($Z78=1,RANK($AE78,$AE$5:$AE$249,0),"")</f>
        <v/>
      </c>
      <c r="AB78" s="7" t="s">
        <v>205</v>
      </c>
      <c r="AC78" s="6" t="s">
        <v>206</v>
      </c>
      <c r="AD78" s="6"/>
      <c r="AE78" s="25" t="str">
        <f aca="false">IF($Z78=1,$Y78+$T78/1000000000-ROW()/10000000,"")</f>
        <v/>
      </c>
    </row>
    <row r="79" customFormat="false" ht="23.85" hidden="false" customHeight="false" outlineLevel="0" collapsed="false">
      <c r="A79" s="7" t="s">
        <v>536</v>
      </c>
      <c r="B79" s="6" t="s">
        <v>537</v>
      </c>
      <c r="C79" s="6" t="s">
        <v>538</v>
      </c>
      <c r="D79" s="7" t="s">
        <v>145</v>
      </c>
      <c r="E79" s="7" t="s">
        <v>522</v>
      </c>
      <c r="F79" s="12" t="s">
        <v>201</v>
      </c>
      <c r="G79" s="13"/>
      <c r="H79" s="7"/>
      <c r="I79" s="6" t="s">
        <v>202</v>
      </c>
      <c r="J79" s="7" t="s">
        <v>203</v>
      </c>
      <c r="K79" s="12"/>
      <c r="L79" s="10" t="s">
        <v>539</v>
      </c>
      <c r="M79" s="7"/>
      <c r="N79" s="12"/>
      <c r="O79" s="12" t="str">
        <f aca="false">IF($M79="","",IF(COUNTIFS('QC listings'!$A$5:$A$200,$M79,'QC listings'!$C$5:$C$200,O$4,'QC listings'!$F$5:$F$200,"Listing page")+COUNTIFS('QC listings'!$A$5:$A$200,$M79,'QC listings'!$C$5:$C$200,O$4,'QC listings'!$F$5:$F$200,"Brand page")&gt;0,"Y",IF(COUNTIFS('QC listings'!$A$5:$A$200,$M79,'QC listings'!$C$5:$C$200,O$4)&gt;0,"?","–")))</f>
        <v/>
      </c>
      <c r="P79" s="12" t="str">
        <f aca="false">IF($M79="","",IF(COUNTIFS('QC listings'!$A$5:$A$200,$M79,'QC listings'!$C$5:$C$200,P$4,'QC listings'!$F$5:$F$200,"Listing page")+COUNTIFS('QC listings'!$A$5:$A$200,$M79,'QC listings'!$C$5:$C$200,P$4,'QC listings'!$F$5:$F$200,"Brand page")&gt;0,"Y",IF(COUNTIFS('QC listings'!$A$5:$A$200,$M79,'QC listings'!$C$5:$C$200,P$4)&gt;0,"?","–")))</f>
        <v/>
      </c>
      <c r="Q79" s="12" t="str">
        <f aca="false">IF($M79="","",IF(COUNTIFS('QC listings'!$A$5:$A$200,$M79,'QC listings'!$C$5:$C$200,Q$4,'QC listings'!$F$5:$F$200,"Listing page")+COUNTIFS('QC listings'!$A$5:$A$200,$M79,'QC listings'!$C$5:$C$200,Q$4,'QC listings'!$F$5:$F$200,"Brand page")&gt;0,"Y",IF(COUNTIFS('QC listings'!$A$5:$A$200,$M79,'QC listings'!$C$5:$C$200,Q$4)&gt;0,"?","–")))</f>
        <v/>
      </c>
      <c r="R79" s="12" t="str">
        <f aca="false">IF($M79="","",IF(COUNTIFS('QC listings'!$A$5:$A$200,$M79,'QC listings'!$C$5:$C$200,R$4,'QC listings'!$F$5:$F$200,"Listing page")+COUNTIFS('QC listings'!$A$5:$A$200,$M79,'QC listings'!$C$5:$C$200,R$4,'QC listings'!$F$5:$F$200,"Brand page")&gt;0,"Y",IF(COUNTIFS('QC listings'!$A$5:$A$200,$M79,'QC listings'!$C$5:$C$200,R$4)&gt;0,"?","–")))</f>
        <v/>
      </c>
      <c r="S79" s="12" t="str">
        <f aca="false">IF($M79="","",COUNTIF(O79:R79,"Y"))</f>
        <v/>
      </c>
      <c r="T79" s="23" t="str">
        <f aca="false">IF($M79="","",SUMPRODUCT(MAX(('QC listings'!$A$5:$A$200=$M79)*'QC listings'!$E$5:$E$200)))</f>
        <v/>
      </c>
      <c r="U79" s="12" t="str">
        <f aca="false">IF($M79="","",IF(T79&gt;=Scoring!$B$11,3,IF(T79&gt;=Scoring!$B$10,2,IF(T79&gt;=Scoring!$B$9,1,0))))</f>
        <v/>
      </c>
      <c r="V79" s="12" t="n">
        <f aca="false">IFERROR(INDEX(Scoring!$B$27:$B$56,MATCH($E79,Scoring!$A$27:$A$56,0)),0)</f>
        <v>0</v>
      </c>
      <c r="W79" s="24" t="str">
        <f aca="false">IF($G79="","",ROUND((Scoring!$B$5-$G79)/30.4375,1))</f>
        <v/>
      </c>
      <c r="X79" s="12" t="n">
        <f aca="false">IF($F79="Expired",Scoring!$B$18,IF($G79="",Scoring!$B$17,IF(W79&lt;=Scoring!$B$12,Scoring!$B$13,IF(W79&lt;=Scoring!$B$14,Scoring!$B$15,Scoring!$B$16))))</f>
        <v>1</v>
      </c>
      <c r="Y79" s="15" t="str">
        <f aca="false">IF($M79="","",ROUND((S79*Scoring!$B$6+U79*Scoring!$B$7)*IFERROR(INDEX(Scoring!$B$22:$B$24,MATCH($N79,Scoring!$A$22:$A$24,0)),1)+V79*Scoring!$B$8+X79,2))</f>
        <v/>
      </c>
      <c r="Z79" s="12" t="str">
        <f aca="false">IF($M79="","",IF(SUMPRODUCT(($M$5:$M$249=$M79)*($G$5:$G$249&gt;$G79))&gt;0,0,IF(SUMPRODUCT(($M$5:$M$249=$M79)*($G$5:$G$249=$G79)*(ROW($M$5:$M$249)&lt;ROW($M79)))&gt;0,0,1)))</f>
        <v/>
      </c>
      <c r="AA79" s="12" t="str">
        <f aca="false">IF($Z79=1,RANK($AE79,$AE$5:$AE$249,0),"")</f>
        <v/>
      </c>
      <c r="AB79" s="7" t="s">
        <v>205</v>
      </c>
      <c r="AC79" s="6" t="s">
        <v>206</v>
      </c>
      <c r="AD79" s="6"/>
      <c r="AE79" s="25" t="str">
        <f aca="false">IF($Z79=1,$Y79+$T79/1000000000-ROW()/10000000,"")</f>
        <v/>
      </c>
    </row>
    <row r="80" customFormat="false" ht="23.85" hidden="false" customHeight="false" outlineLevel="0" collapsed="false">
      <c r="A80" s="7" t="s">
        <v>540</v>
      </c>
      <c r="B80" s="6" t="s">
        <v>541</v>
      </c>
      <c r="C80" s="6" t="s">
        <v>542</v>
      </c>
      <c r="D80" s="7" t="s">
        <v>145</v>
      </c>
      <c r="E80" s="7" t="s">
        <v>522</v>
      </c>
      <c r="F80" s="12" t="s">
        <v>222</v>
      </c>
      <c r="G80" s="13"/>
      <c r="H80" s="7"/>
      <c r="I80" s="6" t="s">
        <v>202</v>
      </c>
      <c r="J80" s="7" t="s">
        <v>203</v>
      </c>
      <c r="K80" s="12" t="s">
        <v>543</v>
      </c>
      <c r="L80" s="10" t="s">
        <v>544</v>
      </c>
      <c r="M80" s="7"/>
      <c r="N80" s="12"/>
      <c r="O80" s="12" t="str">
        <f aca="false">IF($M80="","",IF(COUNTIFS('QC listings'!$A$5:$A$200,$M80,'QC listings'!$C$5:$C$200,O$4,'QC listings'!$F$5:$F$200,"Listing page")+COUNTIFS('QC listings'!$A$5:$A$200,$M80,'QC listings'!$C$5:$C$200,O$4,'QC listings'!$F$5:$F$200,"Brand page")&gt;0,"Y",IF(COUNTIFS('QC listings'!$A$5:$A$200,$M80,'QC listings'!$C$5:$C$200,O$4)&gt;0,"?","–")))</f>
        <v/>
      </c>
      <c r="P80" s="12" t="str">
        <f aca="false">IF($M80="","",IF(COUNTIFS('QC listings'!$A$5:$A$200,$M80,'QC listings'!$C$5:$C$200,P$4,'QC listings'!$F$5:$F$200,"Listing page")+COUNTIFS('QC listings'!$A$5:$A$200,$M80,'QC listings'!$C$5:$C$200,P$4,'QC listings'!$F$5:$F$200,"Brand page")&gt;0,"Y",IF(COUNTIFS('QC listings'!$A$5:$A$200,$M80,'QC listings'!$C$5:$C$200,P$4)&gt;0,"?","–")))</f>
        <v/>
      </c>
      <c r="Q80" s="12" t="str">
        <f aca="false">IF($M80="","",IF(COUNTIFS('QC listings'!$A$5:$A$200,$M80,'QC listings'!$C$5:$C$200,Q$4,'QC listings'!$F$5:$F$200,"Listing page")+COUNTIFS('QC listings'!$A$5:$A$200,$M80,'QC listings'!$C$5:$C$200,Q$4,'QC listings'!$F$5:$F$200,"Brand page")&gt;0,"Y",IF(COUNTIFS('QC listings'!$A$5:$A$200,$M80,'QC listings'!$C$5:$C$200,Q$4)&gt;0,"?","–")))</f>
        <v/>
      </c>
      <c r="R80" s="12" t="str">
        <f aca="false">IF($M80="","",IF(COUNTIFS('QC listings'!$A$5:$A$200,$M80,'QC listings'!$C$5:$C$200,R$4,'QC listings'!$F$5:$F$200,"Listing page")+COUNTIFS('QC listings'!$A$5:$A$200,$M80,'QC listings'!$C$5:$C$200,R$4,'QC listings'!$F$5:$F$200,"Brand page")&gt;0,"Y",IF(COUNTIFS('QC listings'!$A$5:$A$200,$M80,'QC listings'!$C$5:$C$200,R$4)&gt;0,"?","–")))</f>
        <v/>
      </c>
      <c r="S80" s="12" t="str">
        <f aca="false">IF($M80="","",COUNTIF(O80:R80,"Y"))</f>
        <v/>
      </c>
      <c r="T80" s="23" t="str">
        <f aca="false">IF($M80="","",SUMPRODUCT(MAX(('QC listings'!$A$5:$A$200=$M80)*'QC listings'!$E$5:$E$200)))</f>
        <v/>
      </c>
      <c r="U80" s="12" t="str">
        <f aca="false">IF($M80="","",IF(T80&gt;=Scoring!$B$11,3,IF(T80&gt;=Scoring!$B$10,2,IF(T80&gt;=Scoring!$B$9,1,0))))</f>
        <v/>
      </c>
      <c r="V80" s="12" t="n">
        <f aca="false">IFERROR(INDEX(Scoring!$B$27:$B$56,MATCH($E80,Scoring!$A$27:$A$56,0)),0)</f>
        <v>0</v>
      </c>
      <c r="W80" s="24" t="str">
        <f aca="false">IF($G80="","",ROUND((Scoring!$B$5-$G80)/30.4375,1))</f>
        <v/>
      </c>
      <c r="X80" s="12" t="n">
        <f aca="false">IF($F80="Expired",Scoring!$B$18,IF($G80="",Scoring!$B$17,IF(W80&lt;=Scoring!$B$12,Scoring!$B$13,IF(W80&lt;=Scoring!$B$14,Scoring!$B$15,Scoring!$B$16))))</f>
        <v>1</v>
      </c>
      <c r="Y80" s="15" t="str">
        <f aca="false">IF($M80="","",ROUND((S80*Scoring!$B$6+U80*Scoring!$B$7)*IFERROR(INDEX(Scoring!$B$22:$B$24,MATCH($N80,Scoring!$A$22:$A$24,0)),1)+V80*Scoring!$B$8+X80,2))</f>
        <v/>
      </c>
      <c r="Z80" s="12" t="str">
        <f aca="false">IF($M80="","",IF(SUMPRODUCT(($M$5:$M$249=$M80)*($G$5:$G$249&gt;$G80))&gt;0,0,IF(SUMPRODUCT(($M$5:$M$249=$M80)*($G$5:$G$249=$G80)*(ROW($M$5:$M$249)&lt;ROW($M80)))&gt;0,0,1)))</f>
        <v/>
      </c>
      <c r="AA80" s="12" t="str">
        <f aca="false">IF($Z80=1,RANK($AE80,$AE$5:$AE$249,0),"")</f>
        <v/>
      </c>
      <c r="AB80" s="7" t="s">
        <v>205</v>
      </c>
      <c r="AC80" s="6" t="s">
        <v>206</v>
      </c>
      <c r="AD80" s="6"/>
      <c r="AE80" s="25" t="str">
        <f aca="false">IF($Z80=1,$Y80+$T80/1000000000-ROW()/10000000,"")</f>
        <v/>
      </c>
    </row>
    <row r="81" customFormat="false" ht="23.85" hidden="false" customHeight="false" outlineLevel="0" collapsed="false">
      <c r="A81" s="7" t="s">
        <v>545</v>
      </c>
      <c r="B81" s="6" t="s">
        <v>546</v>
      </c>
      <c r="C81" s="6" t="s">
        <v>547</v>
      </c>
      <c r="D81" s="7" t="s">
        <v>145</v>
      </c>
      <c r="E81" s="7" t="s">
        <v>548</v>
      </c>
      <c r="F81" s="12" t="s">
        <v>549</v>
      </c>
      <c r="G81" s="13"/>
      <c r="H81" s="7"/>
      <c r="I81" s="6" t="s">
        <v>202</v>
      </c>
      <c r="J81" s="7" t="s">
        <v>203</v>
      </c>
      <c r="K81" s="12" t="s">
        <v>550</v>
      </c>
      <c r="L81" s="10" t="s">
        <v>551</v>
      </c>
      <c r="M81" s="7"/>
      <c r="N81" s="12"/>
      <c r="O81" s="12" t="str">
        <f aca="false">IF($M81="","",IF(COUNTIFS('QC listings'!$A$5:$A$200,$M81,'QC listings'!$C$5:$C$200,O$4,'QC listings'!$F$5:$F$200,"Listing page")+COUNTIFS('QC listings'!$A$5:$A$200,$M81,'QC listings'!$C$5:$C$200,O$4,'QC listings'!$F$5:$F$200,"Brand page")&gt;0,"Y",IF(COUNTIFS('QC listings'!$A$5:$A$200,$M81,'QC listings'!$C$5:$C$200,O$4)&gt;0,"?","–")))</f>
        <v/>
      </c>
      <c r="P81" s="12" t="str">
        <f aca="false">IF($M81="","",IF(COUNTIFS('QC listings'!$A$5:$A$200,$M81,'QC listings'!$C$5:$C$200,P$4,'QC listings'!$F$5:$F$200,"Listing page")+COUNTIFS('QC listings'!$A$5:$A$200,$M81,'QC listings'!$C$5:$C$200,P$4,'QC listings'!$F$5:$F$200,"Brand page")&gt;0,"Y",IF(COUNTIFS('QC listings'!$A$5:$A$200,$M81,'QC listings'!$C$5:$C$200,P$4)&gt;0,"?","–")))</f>
        <v/>
      </c>
      <c r="Q81" s="12" t="str">
        <f aca="false">IF($M81="","",IF(COUNTIFS('QC listings'!$A$5:$A$200,$M81,'QC listings'!$C$5:$C$200,Q$4,'QC listings'!$F$5:$F$200,"Listing page")+COUNTIFS('QC listings'!$A$5:$A$200,$M81,'QC listings'!$C$5:$C$200,Q$4,'QC listings'!$F$5:$F$200,"Brand page")&gt;0,"Y",IF(COUNTIFS('QC listings'!$A$5:$A$200,$M81,'QC listings'!$C$5:$C$200,Q$4)&gt;0,"?","–")))</f>
        <v/>
      </c>
      <c r="R81" s="12" t="str">
        <f aca="false">IF($M81="","",IF(COUNTIFS('QC listings'!$A$5:$A$200,$M81,'QC listings'!$C$5:$C$200,R$4,'QC listings'!$F$5:$F$200,"Listing page")+COUNTIFS('QC listings'!$A$5:$A$200,$M81,'QC listings'!$C$5:$C$200,R$4,'QC listings'!$F$5:$F$200,"Brand page")&gt;0,"Y",IF(COUNTIFS('QC listings'!$A$5:$A$200,$M81,'QC listings'!$C$5:$C$200,R$4)&gt;0,"?","–")))</f>
        <v/>
      </c>
      <c r="S81" s="12" t="str">
        <f aca="false">IF($M81="","",COUNTIF(O81:R81,"Y"))</f>
        <v/>
      </c>
      <c r="T81" s="23" t="str">
        <f aca="false">IF($M81="","",SUMPRODUCT(MAX(('QC listings'!$A$5:$A$200=$M81)*'QC listings'!$E$5:$E$200)))</f>
        <v/>
      </c>
      <c r="U81" s="12" t="str">
        <f aca="false">IF($M81="","",IF(T81&gt;=Scoring!$B$11,3,IF(T81&gt;=Scoring!$B$10,2,IF(T81&gt;=Scoring!$B$9,1,0))))</f>
        <v/>
      </c>
      <c r="V81" s="12" t="n">
        <f aca="false">IFERROR(INDEX(Scoring!$B$27:$B$56,MATCH($E81,Scoring!$A$27:$A$56,0)),0)</f>
        <v>0</v>
      </c>
      <c r="W81" s="24" t="str">
        <f aca="false">IF($G81="","",ROUND((Scoring!$B$5-$G81)/30.4375,1))</f>
        <v/>
      </c>
      <c r="X81" s="12" t="n">
        <f aca="false">IF($F81="Expired",Scoring!$B$18,IF($G81="",Scoring!$B$17,IF(W81&lt;=Scoring!$B$12,Scoring!$B$13,IF(W81&lt;=Scoring!$B$14,Scoring!$B$15,Scoring!$B$16))))</f>
        <v>0</v>
      </c>
      <c r="Y81" s="15" t="str">
        <f aca="false">IF($M81="","",ROUND((S81*Scoring!$B$6+U81*Scoring!$B$7)*IFERROR(INDEX(Scoring!$B$22:$B$24,MATCH($N81,Scoring!$A$22:$A$24,0)),1)+V81*Scoring!$B$8+X81,2))</f>
        <v/>
      </c>
      <c r="Z81" s="12" t="str">
        <f aca="false">IF($M81="","",IF(SUMPRODUCT(($M$5:$M$249=$M81)*($G$5:$G$249&gt;$G81))&gt;0,0,IF(SUMPRODUCT(($M$5:$M$249=$M81)*($G$5:$G$249=$G81)*(ROW($M$5:$M$249)&lt;ROW($M81)))&gt;0,0,1)))</f>
        <v/>
      </c>
      <c r="AA81" s="12" t="str">
        <f aca="false">IF($Z81=1,RANK($AE81,$AE$5:$AE$249,0),"")</f>
        <v/>
      </c>
      <c r="AB81" s="7" t="s">
        <v>205</v>
      </c>
      <c r="AC81" s="6" t="s">
        <v>206</v>
      </c>
      <c r="AD81" s="6" t="s">
        <v>552</v>
      </c>
      <c r="AE81" s="25" t="str">
        <f aca="false">IF($Z81=1,$Y81+$T81/1000000000-ROW()/10000000,"")</f>
        <v/>
      </c>
    </row>
    <row r="82" customFormat="false" ht="23.85" hidden="false" customHeight="false" outlineLevel="0" collapsed="false">
      <c r="A82" s="7" t="s">
        <v>553</v>
      </c>
      <c r="B82" s="6" t="s">
        <v>554</v>
      </c>
      <c r="C82" s="6" t="s">
        <v>555</v>
      </c>
      <c r="D82" s="7" t="s">
        <v>145</v>
      </c>
      <c r="E82" s="7" t="s">
        <v>548</v>
      </c>
      <c r="F82" s="12" t="s">
        <v>549</v>
      </c>
      <c r="G82" s="13"/>
      <c r="H82" s="7"/>
      <c r="I82" s="6" t="s">
        <v>202</v>
      </c>
      <c r="J82" s="7" t="s">
        <v>203</v>
      </c>
      <c r="K82" s="12" t="s">
        <v>556</v>
      </c>
      <c r="L82" s="10" t="s">
        <v>557</v>
      </c>
      <c r="M82" s="7"/>
      <c r="N82" s="12"/>
      <c r="O82" s="12" t="str">
        <f aca="false">IF($M82="","",IF(COUNTIFS('QC listings'!$A$5:$A$200,$M82,'QC listings'!$C$5:$C$200,O$4,'QC listings'!$F$5:$F$200,"Listing page")+COUNTIFS('QC listings'!$A$5:$A$200,$M82,'QC listings'!$C$5:$C$200,O$4,'QC listings'!$F$5:$F$200,"Brand page")&gt;0,"Y",IF(COUNTIFS('QC listings'!$A$5:$A$200,$M82,'QC listings'!$C$5:$C$200,O$4)&gt;0,"?","–")))</f>
        <v/>
      </c>
      <c r="P82" s="12" t="str">
        <f aca="false">IF($M82="","",IF(COUNTIFS('QC listings'!$A$5:$A$200,$M82,'QC listings'!$C$5:$C$200,P$4,'QC listings'!$F$5:$F$200,"Listing page")+COUNTIFS('QC listings'!$A$5:$A$200,$M82,'QC listings'!$C$5:$C$200,P$4,'QC listings'!$F$5:$F$200,"Brand page")&gt;0,"Y",IF(COUNTIFS('QC listings'!$A$5:$A$200,$M82,'QC listings'!$C$5:$C$200,P$4)&gt;0,"?","–")))</f>
        <v/>
      </c>
      <c r="Q82" s="12" t="str">
        <f aca="false">IF($M82="","",IF(COUNTIFS('QC listings'!$A$5:$A$200,$M82,'QC listings'!$C$5:$C$200,Q$4,'QC listings'!$F$5:$F$200,"Listing page")+COUNTIFS('QC listings'!$A$5:$A$200,$M82,'QC listings'!$C$5:$C$200,Q$4,'QC listings'!$F$5:$F$200,"Brand page")&gt;0,"Y",IF(COUNTIFS('QC listings'!$A$5:$A$200,$M82,'QC listings'!$C$5:$C$200,Q$4)&gt;0,"?","–")))</f>
        <v/>
      </c>
      <c r="R82" s="12" t="str">
        <f aca="false">IF($M82="","",IF(COUNTIFS('QC listings'!$A$5:$A$200,$M82,'QC listings'!$C$5:$C$200,R$4,'QC listings'!$F$5:$F$200,"Listing page")+COUNTIFS('QC listings'!$A$5:$A$200,$M82,'QC listings'!$C$5:$C$200,R$4,'QC listings'!$F$5:$F$200,"Brand page")&gt;0,"Y",IF(COUNTIFS('QC listings'!$A$5:$A$200,$M82,'QC listings'!$C$5:$C$200,R$4)&gt;0,"?","–")))</f>
        <v/>
      </c>
      <c r="S82" s="12" t="str">
        <f aca="false">IF($M82="","",COUNTIF(O82:R82,"Y"))</f>
        <v/>
      </c>
      <c r="T82" s="23" t="str">
        <f aca="false">IF($M82="","",SUMPRODUCT(MAX(('QC listings'!$A$5:$A$200=$M82)*'QC listings'!$E$5:$E$200)))</f>
        <v/>
      </c>
      <c r="U82" s="12" t="str">
        <f aca="false">IF($M82="","",IF(T82&gt;=Scoring!$B$11,3,IF(T82&gt;=Scoring!$B$10,2,IF(T82&gt;=Scoring!$B$9,1,0))))</f>
        <v/>
      </c>
      <c r="V82" s="12" t="n">
        <f aca="false">IFERROR(INDEX(Scoring!$B$27:$B$56,MATCH($E82,Scoring!$A$27:$A$56,0)),0)</f>
        <v>0</v>
      </c>
      <c r="W82" s="24" t="str">
        <f aca="false">IF($G82="","",ROUND((Scoring!$B$5-$G82)/30.4375,1))</f>
        <v/>
      </c>
      <c r="X82" s="12" t="n">
        <f aca="false">IF($F82="Expired",Scoring!$B$18,IF($G82="",Scoring!$B$17,IF(W82&lt;=Scoring!$B$12,Scoring!$B$13,IF(W82&lt;=Scoring!$B$14,Scoring!$B$15,Scoring!$B$16))))</f>
        <v>0</v>
      </c>
      <c r="Y82" s="15" t="str">
        <f aca="false">IF($M82="","",ROUND((S82*Scoring!$B$6+U82*Scoring!$B$7)*IFERROR(INDEX(Scoring!$B$22:$B$24,MATCH($N82,Scoring!$A$22:$A$24,0)),1)+V82*Scoring!$B$8+X82,2))</f>
        <v/>
      </c>
      <c r="Z82" s="12" t="str">
        <f aca="false">IF($M82="","",IF(SUMPRODUCT(($M$5:$M$249=$M82)*($G$5:$G$249&gt;$G82))&gt;0,0,IF(SUMPRODUCT(($M$5:$M$249=$M82)*($G$5:$G$249=$G82)*(ROW($M$5:$M$249)&lt;ROW($M82)))&gt;0,0,1)))</f>
        <v/>
      </c>
      <c r="AA82" s="12" t="str">
        <f aca="false">IF($Z82=1,RANK($AE82,$AE$5:$AE$249,0),"")</f>
        <v/>
      </c>
      <c r="AB82" s="7" t="s">
        <v>205</v>
      </c>
      <c r="AC82" s="6" t="s">
        <v>206</v>
      </c>
      <c r="AD82" s="6" t="s">
        <v>552</v>
      </c>
      <c r="AE82" s="25" t="str">
        <f aca="false">IF($Z82=1,$Y82+$T82/1000000000-ROW()/10000000,"")</f>
        <v/>
      </c>
    </row>
    <row r="83" customFormat="false" ht="23.85" hidden="false" customHeight="false" outlineLevel="0" collapsed="false">
      <c r="A83" s="7" t="s">
        <v>558</v>
      </c>
      <c r="B83" s="6" t="s">
        <v>559</v>
      </c>
      <c r="C83" s="6" t="s">
        <v>560</v>
      </c>
      <c r="D83" s="7" t="s">
        <v>145</v>
      </c>
      <c r="E83" s="7" t="s">
        <v>548</v>
      </c>
      <c r="F83" s="12" t="s">
        <v>549</v>
      </c>
      <c r="G83" s="13"/>
      <c r="H83" s="7"/>
      <c r="I83" s="6" t="s">
        <v>202</v>
      </c>
      <c r="J83" s="7" t="s">
        <v>203</v>
      </c>
      <c r="K83" s="12" t="s">
        <v>550</v>
      </c>
      <c r="L83" s="10" t="s">
        <v>561</v>
      </c>
      <c r="M83" s="7"/>
      <c r="N83" s="12"/>
      <c r="O83" s="12" t="str">
        <f aca="false">IF($M83="","",IF(COUNTIFS('QC listings'!$A$5:$A$200,$M83,'QC listings'!$C$5:$C$200,O$4,'QC listings'!$F$5:$F$200,"Listing page")+COUNTIFS('QC listings'!$A$5:$A$200,$M83,'QC listings'!$C$5:$C$200,O$4,'QC listings'!$F$5:$F$200,"Brand page")&gt;0,"Y",IF(COUNTIFS('QC listings'!$A$5:$A$200,$M83,'QC listings'!$C$5:$C$200,O$4)&gt;0,"?","–")))</f>
        <v/>
      </c>
      <c r="P83" s="12" t="str">
        <f aca="false">IF($M83="","",IF(COUNTIFS('QC listings'!$A$5:$A$200,$M83,'QC listings'!$C$5:$C$200,P$4,'QC listings'!$F$5:$F$200,"Listing page")+COUNTIFS('QC listings'!$A$5:$A$200,$M83,'QC listings'!$C$5:$C$200,P$4,'QC listings'!$F$5:$F$200,"Brand page")&gt;0,"Y",IF(COUNTIFS('QC listings'!$A$5:$A$200,$M83,'QC listings'!$C$5:$C$200,P$4)&gt;0,"?","–")))</f>
        <v/>
      </c>
      <c r="Q83" s="12" t="str">
        <f aca="false">IF($M83="","",IF(COUNTIFS('QC listings'!$A$5:$A$200,$M83,'QC listings'!$C$5:$C$200,Q$4,'QC listings'!$F$5:$F$200,"Listing page")+COUNTIFS('QC listings'!$A$5:$A$200,$M83,'QC listings'!$C$5:$C$200,Q$4,'QC listings'!$F$5:$F$200,"Brand page")&gt;0,"Y",IF(COUNTIFS('QC listings'!$A$5:$A$200,$M83,'QC listings'!$C$5:$C$200,Q$4)&gt;0,"?","–")))</f>
        <v/>
      </c>
      <c r="R83" s="12" t="str">
        <f aca="false">IF($M83="","",IF(COUNTIFS('QC listings'!$A$5:$A$200,$M83,'QC listings'!$C$5:$C$200,R$4,'QC listings'!$F$5:$F$200,"Listing page")+COUNTIFS('QC listings'!$A$5:$A$200,$M83,'QC listings'!$C$5:$C$200,R$4,'QC listings'!$F$5:$F$200,"Brand page")&gt;0,"Y",IF(COUNTIFS('QC listings'!$A$5:$A$200,$M83,'QC listings'!$C$5:$C$200,R$4)&gt;0,"?","–")))</f>
        <v/>
      </c>
      <c r="S83" s="12" t="str">
        <f aca="false">IF($M83="","",COUNTIF(O83:R83,"Y"))</f>
        <v/>
      </c>
      <c r="T83" s="23" t="str">
        <f aca="false">IF($M83="","",SUMPRODUCT(MAX(('QC listings'!$A$5:$A$200=$M83)*'QC listings'!$E$5:$E$200)))</f>
        <v/>
      </c>
      <c r="U83" s="12" t="str">
        <f aca="false">IF($M83="","",IF(T83&gt;=Scoring!$B$11,3,IF(T83&gt;=Scoring!$B$10,2,IF(T83&gt;=Scoring!$B$9,1,0))))</f>
        <v/>
      </c>
      <c r="V83" s="12" t="n">
        <f aca="false">IFERROR(INDEX(Scoring!$B$27:$B$56,MATCH($E83,Scoring!$A$27:$A$56,0)),0)</f>
        <v>0</v>
      </c>
      <c r="W83" s="24" t="str">
        <f aca="false">IF($G83="","",ROUND((Scoring!$B$5-$G83)/30.4375,1))</f>
        <v/>
      </c>
      <c r="X83" s="12" t="n">
        <f aca="false">IF($F83="Expired",Scoring!$B$18,IF($G83="",Scoring!$B$17,IF(W83&lt;=Scoring!$B$12,Scoring!$B$13,IF(W83&lt;=Scoring!$B$14,Scoring!$B$15,Scoring!$B$16))))</f>
        <v>0</v>
      </c>
      <c r="Y83" s="15" t="str">
        <f aca="false">IF($M83="","",ROUND((S83*Scoring!$B$6+U83*Scoring!$B$7)*IFERROR(INDEX(Scoring!$B$22:$B$24,MATCH($N83,Scoring!$A$22:$A$24,0)),1)+V83*Scoring!$B$8+X83,2))</f>
        <v/>
      </c>
      <c r="Z83" s="12" t="str">
        <f aca="false">IF($M83="","",IF(SUMPRODUCT(($M$5:$M$249=$M83)*($G$5:$G$249&gt;$G83))&gt;0,0,IF(SUMPRODUCT(($M$5:$M$249=$M83)*($G$5:$G$249=$G83)*(ROW($M$5:$M$249)&lt;ROW($M83)))&gt;0,0,1)))</f>
        <v/>
      </c>
      <c r="AA83" s="12" t="str">
        <f aca="false">IF($Z83=1,RANK($AE83,$AE$5:$AE$249,0),"")</f>
        <v/>
      </c>
      <c r="AB83" s="7" t="s">
        <v>205</v>
      </c>
      <c r="AC83" s="6" t="s">
        <v>206</v>
      </c>
      <c r="AD83" s="6" t="s">
        <v>562</v>
      </c>
      <c r="AE83" s="25" t="str">
        <f aca="false">IF($Z83=1,$Y83+$T83/1000000000-ROW()/10000000,"")</f>
        <v/>
      </c>
    </row>
    <row r="84" customFormat="false" ht="23.85" hidden="false" customHeight="false" outlineLevel="0" collapsed="false">
      <c r="A84" s="7" t="s">
        <v>563</v>
      </c>
      <c r="B84" s="6" t="s">
        <v>564</v>
      </c>
      <c r="C84" s="6" t="s">
        <v>565</v>
      </c>
      <c r="D84" s="7" t="s">
        <v>145</v>
      </c>
      <c r="E84" s="7" t="s">
        <v>548</v>
      </c>
      <c r="F84" s="12" t="s">
        <v>549</v>
      </c>
      <c r="G84" s="13"/>
      <c r="H84" s="7"/>
      <c r="I84" s="6" t="s">
        <v>202</v>
      </c>
      <c r="J84" s="7" t="s">
        <v>203</v>
      </c>
      <c r="K84" s="12" t="s">
        <v>556</v>
      </c>
      <c r="L84" s="10" t="s">
        <v>561</v>
      </c>
      <c r="M84" s="7"/>
      <c r="N84" s="12"/>
      <c r="O84" s="12" t="str">
        <f aca="false">IF($M84="","",IF(COUNTIFS('QC listings'!$A$5:$A$200,$M84,'QC listings'!$C$5:$C$200,O$4,'QC listings'!$F$5:$F$200,"Listing page")+COUNTIFS('QC listings'!$A$5:$A$200,$M84,'QC listings'!$C$5:$C$200,O$4,'QC listings'!$F$5:$F$200,"Brand page")&gt;0,"Y",IF(COUNTIFS('QC listings'!$A$5:$A$200,$M84,'QC listings'!$C$5:$C$200,O$4)&gt;0,"?","–")))</f>
        <v/>
      </c>
      <c r="P84" s="12" t="str">
        <f aca="false">IF($M84="","",IF(COUNTIFS('QC listings'!$A$5:$A$200,$M84,'QC listings'!$C$5:$C$200,P$4,'QC listings'!$F$5:$F$200,"Listing page")+COUNTIFS('QC listings'!$A$5:$A$200,$M84,'QC listings'!$C$5:$C$200,P$4,'QC listings'!$F$5:$F$200,"Brand page")&gt;0,"Y",IF(COUNTIFS('QC listings'!$A$5:$A$200,$M84,'QC listings'!$C$5:$C$200,P$4)&gt;0,"?","–")))</f>
        <v/>
      </c>
      <c r="Q84" s="12" t="str">
        <f aca="false">IF($M84="","",IF(COUNTIFS('QC listings'!$A$5:$A$200,$M84,'QC listings'!$C$5:$C$200,Q$4,'QC listings'!$F$5:$F$200,"Listing page")+COUNTIFS('QC listings'!$A$5:$A$200,$M84,'QC listings'!$C$5:$C$200,Q$4,'QC listings'!$F$5:$F$200,"Brand page")&gt;0,"Y",IF(COUNTIFS('QC listings'!$A$5:$A$200,$M84,'QC listings'!$C$5:$C$200,Q$4)&gt;0,"?","–")))</f>
        <v/>
      </c>
      <c r="R84" s="12" t="str">
        <f aca="false">IF($M84="","",IF(COUNTIFS('QC listings'!$A$5:$A$200,$M84,'QC listings'!$C$5:$C$200,R$4,'QC listings'!$F$5:$F$200,"Listing page")+COUNTIFS('QC listings'!$A$5:$A$200,$M84,'QC listings'!$C$5:$C$200,R$4,'QC listings'!$F$5:$F$200,"Brand page")&gt;0,"Y",IF(COUNTIFS('QC listings'!$A$5:$A$200,$M84,'QC listings'!$C$5:$C$200,R$4)&gt;0,"?","–")))</f>
        <v/>
      </c>
      <c r="S84" s="12" t="str">
        <f aca="false">IF($M84="","",COUNTIF(O84:R84,"Y"))</f>
        <v/>
      </c>
      <c r="T84" s="23" t="str">
        <f aca="false">IF($M84="","",SUMPRODUCT(MAX(('QC listings'!$A$5:$A$200=$M84)*'QC listings'!$E$5:$E$200)))</f>
        <v/>
      </c>
      <c r="U84" s="12" t="str">
        <f aca="false">IF($M84="","",IF(T84&gt;=Scoring!$B$11,3,IF(T84&gt;=Scoring!$B$10,2,IF(T84&gt;=Scoring!$B$9,1,0))))</f>
        <v/>
      </c>
      <c r="V84" s="12" t="n">
        <f aca="false">IFERROR(INDEX(Scoring!$B$27:$B$56,MATCH($E84,Scoring!$A$27:$A$56,0)),0)</f>
        <v>0</v>
      </c>
      <c r="W84" s="24" t="str">
        <f aca="false">IF($G84="","",ROUND((Scoring!$B$5-$G84)/30.4375,1))</f>
        <v/>
      </c>
      <c r="X84" s="12" t="n">
        <f aca="false">IF($F84="Expired",Scoring!$B$18,IF($G84="",Scoring!$B$17,IF(W84&lt;=Scoring!$B$12,Scoring!$B$13,IF(W84&lt;=Scoring!$B$14,Scoring!$B$15,Scoring!$B$16))))</f>
        <v>0</v>
      </c>
      <c r="Y84" s="15" t="str">
        <f aca="false">IF($M84="","",ROUND((S84*Scoring!$B$6+U84*Scoring!$B$7)*IFERROR(INDEX(Scoring!$B$22:$B$24,MATCH($N84,Scoring!$A$22:$A$24,0)),1)+V84*Scoring!$B$8+X84,2))</f>
        <v/>
      </c>
      <c r="Z84" s="12" t="str">
        <f aca="false">IF($M84="","",IF(SUMPRODUCT(($M$5:$M$249=$M84)*($G$5:$G$249&gt;$G84))&gt;0,0,IF(SUMPRODUCT(($M$5:$M$249=$M84)*($G$5:$G$249=$G84)*(ROW($M$5:$M$249)&lt;ROW($M84)))&gt;0,0,1)))</f>
        <v/>
      </c>
      <c r="AA84" s="12" t="str">
        <f aca="false">IF($Z84=1,RANK($AE84,$AE$5:$AE$249,0),"")</f>
        <v/>
      </c>
      <c r="AB84" s="7" t="s">
        <v>205</v>
      </c>
      <c r="AC84" s="6" t="s">
        <v>206</v>
      </c>
      <c r="AD84" s="6" t="s">
        <v>562</v>
      </c>
      <c r="AE84" s="25" t="str">
        <f aca="false">IF($Z84=1,$Y84+$T84/1000000000-ROW()/10000000,"")</f>
        <v/>
      </c>
    </row>
    <row r="85" customFormat="false" ht="23.85" hidden="false" customHeight="false" outlineLevel="0" collapsed="false">
      <c r="A85" s="7" t="s">
        <v>566</v>
      </c>
      <c r="B85" s="6" t="s">
        <v>567</v>
      </c>
      <c r="C85" s="6" t="s">
        <v>568</v>
      </c>
      <c r="D85" s="7" t="s">
        <v>145</v>
      </c>
      <c r="E85" s="7" t="s">
        <v>548</v>
      </c>
      <c r="F85" s="12" t="s">
        <v>549</v>
      </c>
      <c r="G85" s="13"/>
      <c r="H85" s="7"/>
      <c r="I85" s="6" t="s">
        <v>202</v>
      </c>
      <c r="J85" s="7" t="s">
        <v>203</v>
      </c>
      <c r="K85" s="12" t="s">
        <v>569</v>
      </c>
      <c r="L85" s="10" t="s">
        <v>561</v>
      </c>
      <c r="M85" s="7"/>
      <c r="N85" s="12"/>
      <c r="O85" s="12" t="str">
        <f aca="false">IF($M85="","",IF(COUNTIFS('QC listings'!$A$5:$A$200,$M85,'QC listings'!$C$5:$C$200,O$4,'QC listings'!$F$5:$F$200,"Listing page")+COUNTIFS('QC listings'!$A$5:$A$200,$M85,'QC listings'!$C$5:$C$200,O$4,'QC listings'!$F$5:$F$200,"Brand page")&gt;0,"Y",IF(COUNTIFS('QC listings'!$A$5:$A$200,$M85,'QC listings'!$C$5:$C$200,O$4)&gt;0,"?","–")))</f>
        <v/>
      </c>
      <c r="P85" s="12" t="str">
        <f aca="false">IF($M85="","",IF(COUNTIFS('QC listings'!$A$5:$A$200,$M85,'QC listings'!$C$5:$C$200,P$4,'QC listings'!$F$5:$F$200,"Listing page")+COUNTIFS('QC listings'!$A$5:$A$200,$M85,'QC listings'!$C$5:$C$200,P$4,'QC listings'!$F$5:$F$200,"Brand page")&gt;0,"Y",IF(COUNTIFS('QC listings'!$A$5:$A$200,$M85,'QC listings'!$C$5:$C$200,P$4)&gt;0,"?","–")))</f>
        <v/>
      </c>
      <c r="Q85" s="12" t="str">
        <f aca="false">IF($M85="","",IF(COUNTIFS('QC listings'!$A$5:$A$200,$M85,'QC listings'!$C$5:$C$200,Q$4,'QC listings'!$F$5:$F$200,"Listing page")+COUNTIFS('QC listings'!$A$5:$A$200,$M85,'QC listings'!$C$5:$C$200,Q$4,'QC listings'!$F$5:$F$200,"Brand page")&gt;0,"Y",IF(COUNTIFS('QC listings'!$A$5:$A$200,$M85,'QC listings'!$C$5:$C$200,Q$4)&gt;0,"?","–")))</f>
        <v/>
      </c>
      <c r="R85" s="12" t="str">
        <f aca="false">IF($M85="","",IF(COUNTIFS('QC listings'!$A$5:$A$200,$M85,'QC listings'!$C$5:$C$200,R$4,'QC listings'!$F$5:$F$200,"Listing page")+COUNTIFS('QC listings'!$A$5:$A$200,$M85,'QC listings'!$C$5:$C$200,R$4,'QC listings'!$F$5:$F$200,"Brand page")&gt;0,"Y",IF(COUNTIFS('QC listings'!$A$5:$A$200,$M85,'QC listings'!$C$5:$C$200,R$4)&gt;0,"?","–")))</f>
        <v/>
      </c>
      <c r="S85" s="12" t="str">
        <f aca="false">IF($M85="","",COUNTIF(O85:R85,"Y"))</f>
        <v/>
      </c>
      <c r="T85" s="23" t="str">
        <f aca="false">IF($M85="","",SUMPRODUCT(MAX(('QC listings'!$A$5:$A$200=$M85)*'QC listings'!$E$5:$E$200)))</f>
        <v/>
      </c>
      <c r="U85" s="12" t="str">
        <f aca="false">IF($M85="","",IF(T85&gt;=Scoring!$B$11,3,IF(T85&gt;=Scoring!$B$10,2,IF(T85&gt;=Scoring!$B$9,1,0))))</f>
        <v/>
      </c>
      <c r="V85" s="12" t="n">
        <f aca="false">IFERROR(INDEX(Scoring!$B$27:$B$56,MATCH($E85,Scoring!$A$27:$A$56,0)),0)</f>
        <v>0</v>
      </c>
      <c r="W85" s="24" t="str">
        <f aca="false">IF($G85="","",ROUND((Scoring!$B$5-$G85)/30.4375,1))</f>
        <v/>
      </c>
      <c r="X85" s="12" t="n">
        <f aca="false">IF($F85="Expired",Scoring!$B$18,IF($G85="",Scoring!$B$17,IF(W85&lt;=Scoring!$B$12,Scoring!$B$13,IF(W85&lt;=Scoring!$B$14,Scoring!$B$15,Scoring!$B$16))))</f>
        <v>0</v>
      </c>
      <c r="Y85" s="15" t="str">
        <f aca="false">IF($M85="","",ROUND((S85*Scoring!$B$6+U85*Scoring!$B$7)*IFERROR(INDEX(Scoring!$B$22:$B$24,MATCH($N85,Scoring!$A$22:$A$24,0)),1)+V85*Scoring!$B$8+X85,2))</f>
        <v/>
      </c>
      <c r="Z85" s="12" t="str">
        <f aca="false">IF($M85="","",IF(SUMPRODUCT(($M$5:$M$249=$M85)*($G$5:$G$249&gt;$G85))&gt;0,0,IF(SUMPRODUCT(($M$5:$M$249=$M85)*($G$5:$G$249=$G85)*(ROW($M$5:$M$249)&lt;ROW($M85)))&gt;0,0,1)))</f>
        <v/>
      </c>
      <c r="AA85" s="12" t="str">
        <f aca="false">IF($Z85=1,RANK($AE85,$AE$5:$AE$249,0),"")</f>
        <v/>
      </c>
      <c r="AB85" s="7" t="s">
        <v>205</v>
      </c>
      <c r="AC85" s="6" t="s">
        <v>206</v>
      </c>
      <c r="AD85" s="6" t="s">
        <v>562</v>
      </c>
      <c r="AE85" s="25" t="str">
        <f aca="false">IF($Z85=1,$Y85+$T85/1000000000-ROW()/10000000,"")</f>
        <v/>
      </c>
    </row>
    <row r="86" customFormat="false" ht="23.85" hidden="false" customHeight="false" outlineLevel="0" collapsed="false">
      <c r="A86" s="7" t="s">
        <v>570</v>
      </c>
      <c r="B86" s="6" t="s">
        <v>143</v>
      </c>
      <c r="C86" s="6" t="s">
        <v>571</v>
      </c>
      <c r="D86" s="7" t="s">
        <v>145</v>
      </c>
      <c r="E86" s="7" t="s">
        <v>572</v>
      </c>
      <c r="F86" s="12" t="s">
        <v>158</v>
      </c>
      <c r="G86" s="13" t="n">
        <v>45667</v>
      </c>
      <c r="H86" s="7" t="s">
        <v>573</v>
      </c>
      <c r="I86" s="6" t="s">
        <v>149</v>
      </c>
      <c r="J86" s="7" t="s">
        <v>60</v>
      </c>
      <c r="K86" s="12"/>
      <c r="L86" s="10" t="s">
        <v>574</v>
      </c>
      <c r="M86" s="7"/>
      <c r="N86" s="12"/>
      <c r="O86" s="12" t="str">
        <f aca="false">IF($M86="","",IF(COUNTIFS('QC listings'!$A$5:$A$200,$M86,'QC listings'!$C$5:$C$200,O$4,'QC listings'!$F$5:$F$200,"Listing page")+COUNTIFS('QC listings'!$A$5:$A$200,$M86,'QC listings'!$C$5:$C$200,O$4,'QC listings'!$F$5:$F$200,"Brand page")&gt;0,"Y",IF(COUNTIFS('QC listings'!$A$5:$A$200,$M86,'QC listings'!$C$5:$C$200,O$4)&gt;0,"?","–")))</f>
        <v/>
      </c>
      <c r="P86" s="12" t="str">
        <f aca="false">IF($M86="","",IF(COUNTIFS('QC listings'!$A$5:$A$200,$M86,'QC listings'!$C$5:$C$200,P$4,'QC listings'!$F$5:$F$200,"Listing page")+COUNTIFS('QC listings'!$A$5:$A$200,$M86,'QC listings'!$C$5:$C$200,P$4,'QC listings'!$F$5:$F$200,"Brand page")&gt;0,"Y",IF(COUNTIFS('QC listings'!$A$5:$A$200,$M86,'QC listings'!$C$5:$C$200,P$4)&gt;0,"?","–")))</f>
        <v/>
      </c>
      <c r="Q86" s="12" t="str">
        <f aca="false">IF($M86="","",IF(COUNTIFS('QC listings'!$A$5:$A$200,$M86,'QC listings'!$C$5:$C$200,Q$4,'QC listings'!$F$5:$F$200,"Listing page")+COUNTIFS('QC listings'!$A$5:$A$200,$M86,'QC listings'!$C$5:$C$200,Q$4,'QC listings'!$F$5:$F$200,"Brand page")&gt;0,"Y",IF(COUNTIFS('QC listings'!$A$5:$A$200,$M86,'QC listings'!$C$5:$C$200,Q$4)&gt;0,"?","–")))</f>
        <v/>
      </c>
      <c r="R86" s="12" t="str">
        <f aca="false">IF($M86="","",IF(COUNTIFS('QC listings'!$A$5:$A$200,$M86,'QC listings'!$C$5:$C$200,R$4,'QC listings'!$F$5:$F$200,"Listing page")+COUNTIFS('QC listings'!$A$5:$A$200,$M86,'QC listings'!$C$5:$C$200,R$4,'QC listings'!$F$5:$F$200,"Brand page")&gt;0,"Y",IF(COUNTIFS('QC listings'!$A$5:$A$200,$M86,'QC listings'!$C$5:$C$200,R$4)&gt;0,"?","–")))</f>
        <v/>
      </c>
      <c r="S86" s="12" t="str">
        <f aca="false">IF($M86="","",COUNTIF(O86:R86,"Y"))</f>
        <v/>
      </c>
      <c r="T86" s="23" t="str">
        <f aca="false">IF($M86="","",SUMPRODUCT(MAX(('QC listings'!$A$5:$A$200=$M86)*'QC listings'!$E$5:$E$200)))</f>
        <v/>
      </c>
      <c r="U86" s="12" t="str">
        <f aca="false">IF($M86="","",IF(T86&gt;=Scoring!$B$11,3,IF(T86&gt;=Scoring!$B$10,2,IF(T86&gt;=Scoring!$B$9,1,0))))</f>
        <v/>
      </c>
      <c r="V86" s="12" t="n">
        <f aca="false">IFERROR(INDEX(Scoring!$B$27:$B$56,MATCH($E86,Scoring!$A$27:$A$56,0)),0)</f>
        <v>0</v>
      </c>
      <c r="W86" s="24" t="n">
        <f aca="false">IF($G86="","",ROUND((Scoring!$B$5-$G86)/30.4375,1))</f>
        <v>20.7</v>
      </c>
      <c r="X86" s="12" t="n">
        <f aca="false">IF($F86="Expired",Scoring!$B$18,IF($G86="",Scoring!$B$17,IF(W86&lt;=Scoring!$B$12,Scoring!$B$13,IF(W86&lt;=Scoring!$B$14,Scoring!$B$15,Scoring!$B$16))))</f>
        <v>1</v>
      </c>
      <c r="Y86" s="15" t="str">
        <f aca="false">IF($M86="","",ROUND((S86*Scoring!$B$6+U86*Scoring!$B$7)*IFERROR(INDEX(Scoring!$B$22:$B$24,MATCH($N86,Scoring!$A$22:$A$24,0)),1)+V86*Scoring!$B$8+X86,2))</f>
        <v/>
      </c>
      <c r="Z86" s="12" t="str">
        <f aca="false">IF($M86="","",IF(SUMPRODUCT(($M$5:$M$249=$M86)*($G$5:$G$249&gt;$G86))&gt;0,0,IF(SUMPRODUCT(($M$5:$M$249=$M86)*($G$5:$G$249=$G86)*(ROW($M$5:$M$249)&lt;ROW($M86)))&gt;0,0,1)))</f>
        <v/>
      </c>
      <c r="AA86" s="12" t="str">
        <f aca="false">IF($Z86=1,RANK($AE86,$AE$5:$AE$249,0),"")</f>
        <v/>
      </c>
      <c r="AB86" s="7" t="s">
        <v>153</v>
      </c>
      <c r="AC86" s="6" t="s">
        <v>162</v>
      </c>
      <c r="AD86" s="6"/>
      <c r="AE86" s="25" t="str">
        <f aca="false">IF($Z86=1,$Y86+$T86/1000000000-ROW()/10000000,"")</f>
        <v/>
      </c>
    </row>
    <row r="87" customFormat="false" ht="23.85" hidden="false" customHeight="false" outlineLevel="0" collapsed="false">
      <c r="A87" s="7" t="s">
        <v>575</v>
      </c>
      <c r="B87" s="6" t="s">
        <v>143</v>
      </c>
      <c r="C87" s="6" t="s">
        <v>576</v>
      </c>
      <c r="D87" s="7" t="s">
        <v>145</v>
      </c>
      <c r="E87" s="7" t="s">
        <v>572</v>
      </c>
      <c r="F87" s="12" t="s">
        <v>158</v>
      </c>
      <c r="G87" s="13" t="n">
        <v>45667</v>
      </c>
      <c r="H87" s="7" t="s">
        <v>577</v>
      </c>
      <c r="I87" s="6" t="s">
        <v>149</v>
      </c>
      <c r="J87" s="7" t="s">
        <v>60</v>
      </c>
      <c r="K87" s="12"/>
      <c r="L87" s="10" t="s">
        <v>578</v>
      </c>
      <c r="M87" s="7"/>
      <c r="N87" s="12"/>
      <c r="O87" s="12" t="str">
        <f aca="false">IF($M87="","",IF(COUNTIFS('QC listings'!$A$5:$A$200,$M87,'QC listings'!$C$5:$C$200,O$4,'QC listings'!$F$5:$F$200,"Listing page")+COUNTIFS('QC listings'!$A$5:$A$200,$M87,'QC listings'!$C$5:$C$200,O$4,'QC listings'!$F$5:$F$200,"Brand page")&gt;0,"Y",IF(COUNTIFS('QC listings'!$A$5:$A$200,$M87,'QC listings'!$C$5:$C$200,O$4)&gt;0,"?","–")))</f>
        <v/>
      </c>
      <c r="P87" s="12" t="str">
        <f aca="false">IF($M87="","",IF(COUNTIFS('QC listings'!$A$5:$A$200,$M87,'QC listings'!$C$5:$C$200,P$4,'QC listings'!$F$5:$F$200,"Listing page")+COUNTIFS('QC listings'!$A$5:$A$200,$M87,'QC listings'!$C$5:$C$200,P$4,'QC listings'!$F$5:$F$200,"Brand page")&gt;0,"Y",IF(COUNTIFS('QC listings'!$A$5:$A$200,$M87,'QC listings'!$C$5:$C$200,P$4)&gt;0,"?","–")))</f>
        <v/>
      </c>
      <c r="Q87" s="12" t="str">
        <f aca="false">IF($M87="","",IF(COUNTIFS('QC listings'!$A$5:$A$200,$M87,'QC listings'!$C$5:$C$200,Q$4,'QC listings'!$F$5:$F$200,"Listing page")+COUNTIFS('QC listings'!$A$5:$A$200,$M87,'QC listings'!$C$5:$C$200,Q$4,'QC listings'!$F$5:$F$200,"Brand page")&gt;0,"Y",IF(COUNTIFS('QC listings'!$A$5:$A$200,$M87,'QC listings'!$C$5:$C$200,Q$4)&gt;0,"?","–")))</f>
        <v/>
      </c>
      <c r="R87" s="12" t="str">
        <f aca="false">IF($M87="","",IF(COUNTIFS('QC listings'!$A$5:$A$200,$M87,'QC listings'!$C$5:$C$200,R$4,'QC listings'!$F$5:$F$200,"Listing page")+COUNTIFS('QC listings'!$A$5:$A$200,$M87,'QC listings'!$C$5:$C$200,R$4,'QC listings'!$F$5:$F$200,"Brand page")&gt;0,"Y",IF(COUNTIFS('QC listings'!$A$5:$A$200,$M87,'QC listings'!$C$5:$C$200,R$4)&gt;0,"?","–")))</f>
        <v/>
      </c>
      <c r="S87" s="12" t="str">
        <f aca="false">IF($M87="","",COUNTIF(O87:R87,"Y"))</f>
        <v/>
      </c>
      <c r="T87" s="23" t="str">
        <f aca="false">IF($M87="","",SUMPRODUCT(MAX(('QC listings'!$A$5:$A$200=$M87)*'QC listings'!$E$5:$E$200)))</f>
        <v/>
      </c>
      <c r="U87" s="12" t="str">
        <f aca="false">IF($M87="","",IF(T87&gt;=Scoring!$B$11,3,IF(T87&gt;=Scoring!$B$10,2,IF(T87&gt;=Scoring!$B$9,1,0))))</f>
        <v/>
      </c>
      <c r="V87" s="12" t="n">
        <f aca="false">IFERROR(INDEX(Scoring!$B$27:$B$56,MATCH($E87,Scoring!$A$27:$A$56,0)),0)</f>
        <v>0</v>
      </c>
      <c r="W87" s="24" t="n">
        <f aca="false">IF($G87="","",ROUND((Scoring!$B$5-$G87)/30.4375,1))</f>
        <v>20.7</v>
      </c>
      <c r="X87" s="12" t="n">
        <f aca="false">IF($F87="Expired",Scoring!$B$18,IF($G87="",Scoring!$B$17,IF(W87&lt;=Scoring!$B$12,Scoring!$B$13,IF(W87&lt;=Scoring!$B$14,Scoring!$B$15,Scoring!$B$16))))</f>
        <v>1</v>
      </c>
      <c r="Y87" s="15" t="str">
        <f aca="false">IF($M87="","",ROUND((S87*Scoring!$B$6+U87*Scoring!$B$7)*IFERROR(INDEX(Scoring!$B$22:$B$24,MATCH($N87,Scoring!$A$22:$A$24,0)),1)+V87*Scoring!$B$8+X87,2))</f>
        <v/>
      </c>
      <c r="Z87" s="12" t="str">
        <f aca="false">IF($M87="","",IF(SUMPRODUCT(($M$5:$M$249=$M87)*($G$5:$G$249&gt;$G87))&gt;0,0,IF(SUMPRODUCT(($M$5:$M$249=$M87)*($G$5:$G$249=$G87)*(ROW($M$5:$M$249)&lt;ROW($M87)))&gt;0,0,1)))</f>
        <v/>
      </c>
      <c r="AA87" s="12" t="str">
        <f aca="false">IF($Z87=1,RANK($AE87,$AE$5:$AE$249,0),"")</f>
        <v/>
      </c>
      <c r="AB87" s="7" t="s">
        <v>153</v>
      </c>
      <c r="AC87" s="6" t="s">
        <v>162</v>
      </c>
      <c r="AD87" s="6"/>
      <c r="AE87" s="25" t="str">
        <f aca="false">IF($Z87=1,$Y87+$T87/1000000000-ROW()/10000000,"")</f>
        <v/>
      </c>
    </row>
    <row r="88" customFormat="false" ht="23.85" hidden="false" customHeight="false" outlineLevel="0" collapsed="false">
      <c r="A88" s="7" t="s">
        <v>579</v>
      </c>
      <c r="B88" s="6" t="s">
        <v>143</v>
      </c>
      <c r="C88" s="6" t="s">
        <v>580</v>
      </c>
      <c r="D88" s="7" t="s">
        <v>145</v>
      </c>
      <c r="E88" s="7" t="s">
        <v>572</v>
      </c>
      <c r="F88" s="12" t="s">
        <v>158</v>
      </c>
      <c r="G88" s="13" t="n">
        <v>45667</v>
      </c>
      <c r="H88" s="7" t="s">
        <v>581</v>
      </c>
      <c r="I88" s="6" t="s">
        <v>149</v>
      </c>
      <c r="J88" s="7" t="s">
        <v>60</v>
      </c>
      <c r="K88" s="12"/>
      <c r="L88" s="10" t="s">
        <v>582</v>
      </c>
      <c r="M88" s="7"/>
      <c r="N88" s="12"/>
      <c r="O88" s="12" t="str">
        <f aca="false">IF($M88="","",IF(COUNTIFS('QC listings'!$A$5:$A$200,$M88,'QC listings'!$C$5:$C$200,O$4,'QC listings'!$F$5:$F$200,"Listing page")+COUNTIFS('QC listings'!$A$5:$A$200,$M88,'QC listings'!$C$5:$C$200,O$4,'QC listings'!$F$5:$F$200,"Brand page")&gt;0,"Y",IF(COUNTIFS('QC listings'!$A$5:$A$200,$M88,'QC listings'!$C$5:$C$200,O$4)&gt;0,"?","–")))</f>
        <v/>
      </c>
      <c r="P88" s="12" t="str">
        <f aca="false">IF($M88="","",IF(COUNTIFS('QC listings'!$A$5:$A$200,$M88,'QC listings'!$C$5:$C$200,P$4,'QC listings'!$F$5:$F$200,"Listing page")+COUNTIFS('QC listings'!$A$5:$A$200,$M88,'QC listings'!$C$5:$C$200,P$4,'QC listings'!$F$5:$F$200,"Brand page")&gt;0,"Y",IF(COUNTIFS('QC listings'!$A$5:$A$200,$M88,'QC listings'!$C$5:$C$200,P$4)&gt;0,"?","–")))</f>
        <v/>
      </c>
      <c r="Q88" s="12" t="str">
        <f aca="false">IF($M88="","",IF(COUNTIFS('QC listings'!$A$5:$A$200,$M88,'QC listings'!$C$5:$C$200,Q$4,'QC listings'!$F$5:$F$200,"Listing page")+COUNTIFS('QC listings'!$A$5:$A$200,$M88,'QC listings'!$C$5:$C$200,Q$4,'QC listings'!$F$5:$F$200,"Brand page")&gt;0,"Y",IF(COUNTIFS('QC listings'!$A$5:$A$200,$M88,'QC listings'!$C$5:$C$200,Q$4)&gt;0,"?","–")))</f>
        <v/>
      </c>
      <c r="R88" s="12" t="str">
        <f aca="false">IF($M88="","",IF(COUNTIFS('QC listings'!$A$5:$A$200,$M88,'QC listings'!$C$5:$C$200,R$4,'QC listings'!$F$5:$F$200,"Listing page")+COUNTIFS('QC listings'!$A$5:$A$200,$M88,'QC listings'!$C$5:$C$200,R$4,'QC listings'!$F$5:$F$200,"Brand page")&gt;0,"Y",IF(COUNTIFS('QC listings'!$A$5:$A$200,$M88,'QC listings'!$C$5:$C$200,R$4)&gt;0,"?","–")))</f>
        <v/>
      </c>
      <c r="S88" s="12" t="str">
        <f aca="false">IF($M88="","",COUNTIF(O88:R88,"Y"))</f>
        <v/>
      </c>
      <c r="T88" s="23" t="str">
        <f aca="false">IF($M88="","",SUMPRODUCT(MAX(('QC listings'!$A$5:$A$200=$M88)*'QC listings'!$E$5:$E$200)))</f>
        <v/>
      </c>
      <c r="U88" s="12" t="str">
        <f aca="false">IF($M88="","",IF(T88&gt;=Scoring!$B$11,3,IF(T88&gt;=Scoring!$B$10,2,IF(T88&gt;=Scoring!$B$9,1,0))))</f>
        <v/>
      </c>
      <c r="V88" s="12" t="n">
        <f aca="false">IFERROR(INDEX(Scoring!$B$27:$B$56,MATCH($E88,Scoring!$A$27:$A$56,0)),0)</f>
        <v>0</v>
      </c>
      <c r="W88" s="24" t="n">
        <f aca="false">IF($G88="","",ROUND((Scoring!$B$5-$G88)/30.4375,1))</f>
        <v>20.7</v>
      </c>
      <c r="X88" s="12" t="n">
        <f aca="false">IF($F88="Expired",Scoring!$B$18,IF($G88="",Scoring!$B$17,IF(W88&lt;=Scoring!$B$12,Scoring!$B$13,IF(W88&lt;=Scoring!$B$14,Scoring!$B$15,Scoring!$B$16))))</f>
        <v>1</v>
      </c>
      <c r="Y88" s="15" t="str">
        <f aca="false">IF($M88="","",ROUND((S88*Scoring!$B$6+U88*Scoring!$B$7)*IFERROR(INDEX(Scoring!$B$22:$B$24,MATCH($N88,Scoring!$A$22:$A$24,0)),1)+V88*Scoring!$B$8+X88,2))</f>
        <v/>
      </c>
      <c r="Z88" s="12" t="str">
        <f aca="false">IF($M88="","",IF(SUMPRODUCT(($M$5:$M$249=$M88)*($G$5:$G$249&gt;$G88))&gt;0,0,IF(SUMPRODUCT(($M$5:$M$249=$M88)*($G$5:$G$249=$G88)*(ROW($M$5:$M$249)&lt;ROW($M88)))&gt;0,0,1)))</f>
        <v/>
      </c>
      <c r="AA88" s="12" t="str">
        <f aca="false">IF($Z88=1,RANK($AE88,$AE$5:$AE$249,0),"")</f>
        <v/>
      </c>
      <c r="AB88" s="7" t="s">
        <v>153</v>
      </c>
      <c r="AC88" s="6" t="s">
        <v>162</v>
      </c>
      <c r="AD88" s="6"/>
      <c r="AE88" s="25" t="str">
        <f aca="false">IF($Z88=1,$Y88+$T88/1000000000-ROW()/10000000,"")</f>
        <v/>
      </c>
    </row>
    <row r="89" customFormat="false" ht="23.85" hidden="false" customHeight="false" outlineLevel="0" collapsed="false">
      <c r="A89" s="7" t="s">
        <v>583</v>
      </c>
      <c r="B89" s="6" t="s">
        <v>584</v>
      </c>
      <c r="C89" s="6" t="s">
        <v>585</v>
      </c>
      <c r="D89" s="7" t="s">
        <v>145</v>
      </c>
      <c r="E89" s="7" t="s">
        <v>572</v>
      </c>
      <c r="F89" s="12" t="s">
        <v>201</v>
      </c>
      <c r="G89" s="13"/>
      <c r="H89" s="7"/>
      <c r="I89" s="6" t="s">
        <v>202</v>
      </c>
      <c r="J89" s="7" t="s">
        <v>203</v>
      </c>
      <c r="K89" s="12"/>
      <c r="L89" s="10" t="s">
        <v>586</v>
      </c>
      <c r="M89" s="7" t="s">
        <v>587</v>
      </c>
      <c r="N89" s="12" t="s">
        <v>277</v>
      </c>
      <c r="O89" s="12" t="str">
        <f aca="false">IF($M89="","",IF(COUNTIFS('QC listings'!$A$5:$A$200,$M89,'QC listings'!$C$5:$C$200,O$4,'QC listings'!$F$5:$F$200,"Listing page")+COUNTIFS('QC listings'!$A$5:$A$200,$M89,'QC listings'!$C$5:$C$200,O$4,'QC listings'!$F$5:$F$200,"Brand page")&gt;0,"Y",IF(COUNTIFS('QC listings'!$A$5:$A$200,$M89,'QC listings'!$C$5:$C$200,O$4)&gt;0,"?","–")))</f>
        <v>Y</v>
      </c>
      <c r="P89" s="12" t="str">
        <f aca="false">IF($M89="","",IF(COUNTIFS('QC listings'!$A$5:$A$200,$M89,'QC listings'!$C$5:$C$200,P$4,'QC listings'!$F$5:$F$200,"Listing page")+COUNTIFS('QC listings'!$A$5:$A$200,$M89,'QC listings'!$C$5:$C$200,P$4,'QC listings'!$F$5:$F$200,"Brand page")&gt;0,"Y",IF(COUNTIFS('QC listings'!$A$5:$A$200,$M89,'QC listings'!$C$5:$C$200,P$4)&gt;0,"?","–")))</f>
        <v>–</v>
      </c>
      <c r="Q89" s="12" t="str">
        <f aca="false">IF($M89="","",IF(COUNTIFS('QC listings'!$A$5:$A$200,$M89,'QC listings'!$C$5:$C$200,Q$4,'QC listings'!$F$5:$F$200,"Listing page")+COUNTIFS('QC listings'!$A$5:$A$200,$M89,'QC listings'!$C$5:$C$200,Q$4,'QC listings'!$F$5:$F$200,"Brand page")&gt;0,"Y",IF(COUNTIFS('QC listings'!$A$5:$A$200,$M89,'QC listings'!$C$5:$C$200,Q$4)&gt;0,"?","–")))</f>
        <v>–</v>
      </c>
      <c r="R89" s="12" t="str">
        <f aca="false">IF($M89="","",IF(COUNTIFS('QC listings'!$A$5:$A$200,$M89,'QC listings'!$C$5:$C$200,R$4,'QC listings'!$F$5:$F$200,"Listing page")+COUNTIFS('QC listings'!$A$5:$A$200,$M89,'QC listings'!$C$5:$C$200,R$4,'QC listings'!$F$5:$F$200,"Brand page")&gt;0,"Y",IF(COUNTIFS('QC listings'!$A$5:$A$200,$M89,'QC listings'!$C$5:$C$200,R$4)&gt;0,"?","–")))</f>
        <v>–</v>
      </c>
      <c r="S89" s="12" t="n">
        <f aca="false">IF($M89="","",COUNTIF(O89:R89,"Y"))</f>
        <v>1</v>
      </c>
      <c r="T89" s="23" t="n">
        <f aca="false">IF($M89="","",SUMPRODUCT(MAX(('QC listings'!$A$5:$A$200=$M89)*'QC listings'!$E$5:$E$200)))</f>
        <v>0</v>
      </c>
      <c r="U89" s="12" t="n">
        <f aca="false">IF($M89="","",IF(T89&gt;=Scoring!$B$11,3,IF(T89&gt;=Scoring!$B$10,2,IF(T89&gt;=Scoring!$B$9,1,0))))</f>
        <v>0</v>
      </c>
      <c r="V89" s="12" t="n">
        <f aca="false">IFERROR(INDEX(Scoring!$B$27:$B$56,MATCH($E89,Scoring!$A$27:$A$56,0)),0)</f>
        <v>0</v>
      </c>
      <c r="W89" s="24" t="str">
        <f aca="false">IF($G89="","",ROUND((Scoring!$B$5-$G89)/30.4375,1))</f>
        <v/>
      </c>
      <c r="X89" s="12" t="n">
        <f aca="false">IF($F89="Expired",Scoring!$B$18,IF($G89="",Scoring!$B$17,IF(W89&lt;=Scoring!$B$12,Scoring!$B$13,IF(W89&lt;=Scoring!$B$14,Scoring!$B$15,Scoring!$B$16))))</f>
        <v>1</v>
      </c>
      <c r="Y89" s="15" t="n">
        <f aca="false">IF($M89="","",ROUND((S89*Scoring!$B$6+U89*Scoring!$B$7)*IFERROR(INDEX(Scoring!$B$22:$B$24,MATCH($N89,Scoring!$A$22:$A$24,0)),1)+V89*Scoring!$B$8+X89,2))</f>
        <v>1.75</v>
      </c>
      <c r="Z89" s="12" t="n">
        <f aca="false">IF($M89="","",IF(SUMPRODUCT(($M$5:$M$249=$M89)*($G$5:$G$249&gt;$G89))&gt;0,0,IF(SUMPRODUCT(($M$5:$M$249=$M89)*($G$5:$G$249=$G89)*(ROW($M$5:$M$249)&lt;ROW($M89)))&gt;0,0,1)))</f>
        <v>0</v>
      </c>
      <c r="AA89" s="12" t="str">
        <f aca="false">IF($Z89=1,RANK($AE89,$AE$5:$AE$249,0),"")</f>
        <v/>
      </c>
      <c r="AB89" s="7" t="s">
        <v>205</v>
      </c>
      <c r="AC89" s="6" t="s">
        <v>206</v>
      </c>
      <c r="AD89" s="6" t="s">
        <v>588</v>
      </c>
      <c r="AE89" s="25" t="str">
        <f aca="false">IF($Z89=1,$Y89+$T89/1000000000-ROW()/10000000,"")</f>
        <v/>
      </c>
    </row>
    <row r="90" customFormat="false" ht="23.85" hidden="false" customHeight="false" outlineLevel="0" collapsed="false">
      <c r="A90" s="7" t="s">
        <v>589</v>
      </c>
      <c r="B90" s="6" t="s">
        <v>584</v>
      </c>
      <c r="C90" s="6" t="s">
        <v>590</v>
      </c>
      <c r="D90" s="7" t="s">
        <v>145</v>
      </c>
      <c r="E90" s="7" t="s">
        <v>572</v>
      </c>
      <c r="F90" s="12" t="s">
        <v>158</v>
      </c>
      <c r="G90" s="13" t="n">
        <v>45688</v>
      </c>
      <c r="H90" s="7" t="s">
        <v>591</v>
      </c>
      <c r="I90" s="6" t="s">
        <v>149</v>
      </c>
      <c r="J90" s="7" t="s">
        <v>60</v>
      </c>
      <c r="K90" s="12"/>
      <c r="L90" s="10" t="s">
        <v>592</v>
      </c>
      <c r="M90" s="7" t="s">
        <v>587</v>
      </c>
      <c r="N90" s="12" t="s">
        <v>277</v>
      </c>
      <c r="O90" s="12" t="str">
        <f aca="false">IF($M90="","",IF(COUNTIFS('QC listings'!$A$5:$A$200,$M90,'QC listings'!$C$5:$C$200,O$4,'QC listings'!$F$5:$F$200,"Listing page")+COUNTIFS('QC listings'!$A$5:$A$200,$M90,'QC listings'!$C$5:$C$200,O$4,'QC listings'!$F$5:$F$200,"Brand page")&gt;0,"Y",IF(COUNTIFS('QC listings'!$A$5:$A$200,$M90,'QC listings'!$C$5:$C$200,O$4)&gt;0,"?","–")))</f>
        <v>Y</v>
      </c>
      <c r="P90" s="12" t="str">
        <f aca="false">IF($M90="","",IF(COUNTIFS('QC listings'!$A$5:$A$200,$M90,'QC listings'!$C$5:$C$200,P$4,'QC listings'!$F$5:$F$200,"Listing page")+COUNTIFS('QC listings'!$A$5:$A$200,$M90,'QC listings'!$C$5:$C$200,P$4,'QC listings'!$F$5:$F$200,"Brand page")&gt;0,"Y",IF(COUNTIFS('QC listings'!$A$5:$A$200,$M90,'QC listings'!$C$5:$C$200,P$4)&gt;0,"?","–")))</f>
        <v>–</v>
      </c>
      <c r="Q90" s="12" t="str">
        <f aca="false">IF($M90="","",IF(COUNTIFS('QC listings'!$A$5:$A$200,$M90,'QC listings'!$C$5:$C$200,Q$4,'QC listings'!$F$5:$F$200,"Listing page")+COUNTIFS('QC listings'!$A$5:$A$200,$M90,'QC listings'!$C$5:$C$200,Q$4,'QC listings'!$F$5:$F$200,"Brand page")&gt;0,"Y",IF(COUNTIFS('QC listings'!$A$5:$A$200,$M90,'QC listings'!$C$5:$C$200,Q$4)&gt;0,"?","–")))</f>
        <v>–</v>
      </c>
      <c r="R90" s="12" t="str">
        <f aca="false">IF($M90="","",IF(COUNTIFS('QC listings'!$A$5:$A$200,$M90,'QC listings'!$C$5:$C$200,R$4,'QC listings'!$F$5:$F$200,"Listing page")+COUNTIFS('QC listings'!$A$5:$A$200,$M90,'QC listings'!$C$5:$C$200,R$4,'QC listings'!$F$5:$F$200,"Brand page")&gt;0,"Y",IF(COUNTIFS('QC listings'!$A$5:$A$200,$M90,'QC listings'!$C$5:$C$200,R$4)&gt;0,"?","–")))</f>
        <v>–</v>
      </c>
      <c r="S90" s="12" t="n">
        <f aca="false">IF($M90="","",COUNTIF(O90:R90,"Y"))</f>
        <v>1</v>
      </c>
      <c r="T90" s="23" t="n">
        <f aca="false">IF($M90="","",SUMPRODUCT(MAX(('QC listings'!$A$5:$A$200=$M90)*'QC listings'!$E$5:$E$200)))</f>
        <v>0</v>
      </c>
      <c r="U90" s="12" t="n">
        <f aca="false">IF($M90="","",IF(T90&gt;=Scoring!$B$11,3,IF(T90&gt;=Scoring!$B$10,2,IF(T90&gt;=Scoring!$B$9,1,0))))</f>
        <v>0</v>
      </c>
      <c r="V90" s="12" t="n">
        <f aca="false">IFERROR(INDEX(Scoring!$B$27:$B$56,MATCH($E90,Scoring!$A$27:$A$56,0)),0)</f>
        <v>0</v>
      </c>
      <c r="W90" s="24" t="n">
        <f aca="false">IF($G90="","",ROUND((Scoring!$B$5-$G90)/30.4375,1))</f>
        <v>20</v>
      </c>
      <c r="X90" s="12" t="n">
        <f aca="false">IF($F90="Expired",Scoring!$B$18,IF($G90="",Scoring!$B$17,IF(W90&lt;=Scoring!$B$12,Scoring!$B$13,IF(W90&lt;=Scoring!$B$14,Scoring!$B$15,Scoring!$B$16))))</f>
        <v>1</v>
      </c>
      <c r="Y90" s="15" t="n">
        <f aca="false">IF($M90="","",ROUND((S90*Scoring!$B$6+U90*Scoring!$B$7)*IFERROR(INDEX(Scoring!$B$22:$B$24,MATCH($N90,Scoring!$A$22:$A$24,0)),1)+V90*Scoring!$B$8+X90,2))</f>
        <v>1.75</v>
      </c>
      <c r="Z90" s="12" t="n">
        <f aca="false">IF($M90="","",IF(SUMPRODUCT(($M$5:$M$249=$M90)*($G$5:$G$249&gt;$G90))&gt;0,0,IF(SUMPRODUCT(($M$5:$M$249=$M90)*($G$5:$G$249=$G90)*(ROW($M$5:$M$249)&lt;ROW($M90)))&gt;0,0,1)))</f>
        <v>1</v>
      </c>
      <c r="AA90" s="12" t="n">
        <f aca="false">IF($Z90=1,RANK($AE90,$AE$5:$AE$249,0),"")</f>
        <v>35</v>
      </c>
      <c r="AB90" s="7" t="s">
        <v>153</v>
      </c>
      <c r="AC90" s="6" t="s">
        <v>162</v>
      </c>
      <c r="AD90" s="6" t="s">
        <v>588</v>
      </c>
      <c r="AE90" s="25" t="n">
        <f aca="false">IF($Z90=1,$Y90+$T90/1000000000-ROW()/10000000,"")</f>
        <v>1.749991</v>
      </c>
    </row>
    <row r="91" customFormat="false" ht="23.85" hidden="false" customHeight="false" outlineLevel="0" collapsed="false">
      <c r="A91" s="7" t="s">
        <v>593</v>
      </c>
      <c r="B91" s="6" t="s">
        <v>584</v>
      </c>
      <c r="C91" s="6" t="s">
        <v>594</v>
      </c>
      <c r="D91" s="7" t="s">
        <v>145</v>
      </c>
      <c r="E91" s="7" t="s">
        <v>572</v>
      </c>
      <c r="F91" s="12" t="s">
        <v>158</v>
      </c>
      <c r="G91" s="13" t="n">
        <v>45688</v>
      </c>
      <c r="H91" s="7" t="s">
        <v>595</v>
      </c>
      <c r="I91" s="6" t="s">
        <v>149</v>
      </c>
      <c r="J91" s="7" t="s">
        <v>60</v>
      </c>
      <c r="K91" s="12"/>
      <c r="L91" s="10" t="s">
        <v>596</v>
      </c>
      <c r="M91" s="7" t="s">
        <v>597</v>
      </c>
      <c r="N91" s="12" t="s">
        <v>152</v>
      </c>
      <c r="O91" s="12" t="str">
        <f aca="false">IF($M91="","",IF(COUNTIFS('QC listings'!$A$5:$A$200,$M91,'QC listings'!$C$5:$C$200,O$4,'QC listings'!$F$5:$F$200,"Listing page")+COUNTIFS('QC listings'!$A$5:$A$200,$M91,'QC listings'!$C$5:$C$200,O$4,'QC listings'!$F$5:$F$200,"Brand page")&gt;0,"Y",IF(COUNTIFS('QC listings'!$A$5:$A$200,$M91,'QC listings'!$C$5:$C$200,O$4)&gt;0,"?","–")))</f>
        <v>Y</v>
      </c>
      <c r="P91" s="12" t="str">
        <f aca="false">IF($M91="","",IF(COUNTIFS('QC listings'!$A$5:$A$200,$M91,'QC listings'!$C$5:$C$200,P$4,'QC listings'!$F$5:$F$200,"Listing page")+COUNTIFS('QC listings'!$A$5:$A$200,$M91,'QC listings'!$C$5:$C$200,P$4,'QC listings'!$F$5:$F$200,"Brand page")&gt;0,"Y",IF(COUNTIFS('QC listings'!$A$5:$A$200,$M91,'QC listings'!$C$5:$C$200,P$4)&gt;0,"?","–")))</f>
        <v>–</v>
      </c>
      <c r="Q91" s="12" t="str">
        <f aca="false">IF($M91="","",IF(COUNTIFS('QC listings'!$A$5:$A$200,$M91,'QC listings'!$C$5:$C$200,Q$4,'QC listings'!$F$5:$F$200,"Listing page")+COUNTIFS('QC listings'!$A$5:$A$200,$M91,'QC listings'!$C$5:$C$200,Q$4,'QC listings'!$F$5:$F$200,"Brand page")&gt;0,"Y",IF(COUNTIFS('QC listings'!$A$5:$A$200,$M91,'QC listings'!$C$5:$C$200,Q$4)&gt;0,"?","–")))</f>
        <v>–</v>
      </c>
      <c r="R91" s="12" t="str">
        <f aca="false">IF($M91="","",IF(COUNTIFS('QC listings'!$A$5:$A$200,$M91,'QC listings'!$C$5:$C$200,R$4,'QC listings'!$F$5:$F$200,"Listing page")+COUNTIFS('QC listings'!$A$5:$A$200,$M91,'QC listings'!$C$5:$C$200,R$4,'QC listings'!$F$5:$F$200,"Brand page")&gt;0,"Y",IF(COUNTIFS('QC listings'!$A$5:$A$200,$M91,'QC listings'!$C$5:$C$200,R$4)&gt;0,"?","–")))</f>
        <v>–</v>
      </c>
      <c r="S91" s="12" t="n">
        <f aca="false">IF($M91="","",COUNTIF(O91:R91,"Y"))</f>
        <v>1</v>
      </c>
      <c r="T91" s="23" t="n">
        <f aca="false">IF($M91="","",SUMPRODUCT(MAX(('QC listings'!$A$5:$A$200=$M91)*'QC listings'!$E$5:$E$200)))</f>
        <v>0</v>
      </c>
      <c r="U91" s="12" t="n">
        <f aca="false">IF($M91="","",IF(T91&gt;=Scoring!$B$11,3,IF(T91&gt;=Scoring!$B$10,2,IF(T91&gt;=Scoring!$B$9,1,0))))</f>
        <v>0</v>
      </c>
      <c r="V91" s="12" t="n">
        <f aca="false">IFERROR(INDEX(Scoring!$B$27:$B$56,MATCH($E91,Scoring!$A$27:$A$56,0)),0)</f>
        <v>0</v>
      </c>
      <c r="W91" s="24" t="n">
        <f aca="false">IF($G91="","",ROUND((Scoring!$B$5-$G91)/30.4375,1))</f>
        <v>20</v>
      </c>
      <c r="X91" s="12" t="n">
        <f aca="false">IF($F91="Expired",Scoring!$B$18,IF($G91="",Scoring!$B$17,IF(W91&lt;=Scoring!$B$12,Scoring!$B$13,IF(W91&lt;=Scoring!$B$14,Scoring!$B$15,Scoring!$B$16))))</f>
        <v>1</v>
      </c>
      <c r="Y91" s="15" t="n">
        <f aca="false">IF($M91="","",ROUND((S91*Scoring!$B$6+U91*Scoring!$B$7)*IFERROR(INDEX(Scoring!$B$22:$B$24,MATCH($N91,Scoring!$A$22:$A$24,0)),1)+V91*Scoring!$B$8+X91,2))</f>
        <v>2</v>
      </c>
      <c r="Z91" s="12" t="n">
        <f aca="false">IF($M91="","",IF(SUMPRODUCT(($M$5:$M$249=$M91)*($G$5:$G$249&gt;$G91))&gt;0,0,IF(SUMPRODUCT(($M$5:$M$249=$M91)*($G$5:$G$249=$G91)*(ROW($M$5:$M$249)&lt;ROW($M91)))&gt;0,0,1)))</f>
        <v>1</v>
      </c>
      <c r="AA91" s="12" t="n">
        <f aca="false">IF($Z91=1,RANK($AE91,$AE$5:$AE$249,0),"")</f>
        <v>32</v>
      </c>
      <c r="AB91" s="7" t="s">
        <v>153</v>
      </c>
      <c r="AC91" s="6" t="s">
        <v>162</v>
      </c>
      <c r="AD91" s="6" t="s">
        <v>598</v>
      </c>
      <c r="AE91" s="25" t="n">
        <f aca="false">IF($Z91=1,$Y91+$T91/1000000000-ROW()/10000000,"")</f>
        <v>1.9999909</v>
      </c>
    </row>
    <row r="92" customFormat="false" ht="23.85" hidden="false" customHeight="false" outlineLevel="0" collapsed="false">
      <c r="A92" s="7" t="s">
        <v>599</v>
      </c>
      <c r="B92" s="6" t="s">
        <v>600</v>
      </c>
      <c r="C92" s="6" t="s">
        <v>601</v>
      </c>
      <c r="D92" s="7" t="s">
        <v>145</v>
      </c>
      <c r="E92" s="7" t="s">
        <v>572</v>
      </c>
      <c r="F92" s="12" t="s">
        <v>147</v>
      </c>
      <c r="G92" s="13" t="n">
        <v>45851</v>
      </c>
      <c r="H92" s="7" t="s">
        <v>602</v>
      </c>
      <c r="I92" s="6" t="s">
        <v>149</v>
      </c>
      <c r="J92" s="7" t="s">
        <v>60</v>
      </c>
      <c r="K92" s="12"/>
      <c r="L92" s="10" t="s">
        <v>603</v>
      </c>
      <c r="M92" s="7"/>
      <c r="N92" s="12"/>
      <c r="O92" s="12" t="str">
        <f aca="false">IF($M92="","",IF(COUNTIFS('QC listings'!$A$5:$A$200,$M92,'QC listings'!$C$5:$C$200,O$4,'QC listings'!$F$5:$F$200,"Listing page")+COUNTIFS('QC listings'!$A$5:$A$200,$M92,'QC listings'!$C$5:$C$200,O$4,'QC listings'!$F$5:$F$200,"Brand page")&gt;0,"Y",IF(COUNTIFS('QC listings'!$A$5:$A$200,$M92,'QC listings'!$C$5:$C$200,O$4)&gt;0,"?","–")))</f>
        <v/>
      </c>
      <c r="P92" s="12" t="str">
        <f aca="false">IF($M92="","",IF(COUNTIFS('QC listings'!$A$5:$A$200,$M92,'QC listings'!$C$5:$C$200,P$4,'QC listings'!$F$5:$F$200,"Listing page")+COUNTIFS('QC listings'!$A$5:$A$200,$M92,'QC listings'!$C$5:$C$200,P$4,'QC listings'!$F$5:$F$200,"Brand page")&gt;0,"Y",IF(COUNTIFS('QC listings'!$A$5:$A$200,$M92,'QC listings'!$C$5:$C$200,P$4)&gt;0,"?","–")))</f>
        <v/>
      </c>
      <c r="Q92" s="12" t="str">
        <f aca="false">IF($M92="","",IF(COUNTIFS('QC listings'!$A$5:$A$200,$M92,'QC listings'!$C$5:$C$200,Q$4,'QC listings'!$F$5:$F$200,"Listing page")+COUNTIFS('QC listings'!$A$5:$A$200,$M92,'QC listings'!$C$5:$C$200,Q$4,'QC listings'!$F$5:$F$200,"Brand page")&gt;0,"Y",IF(COUNTIFS('QC listings'!$A$5:$A$200,$M92,'QC listings'!$C$5:$C$200,Q$4)&gt;0,"?","–")))</f>
        <v/>
      </c>
      <c r="R92" s="12" t="str">
        <f aca="false">IF($M92="","",IF(COUNTIFS('QC listings'!$A$5:$A$200,$M92,'QC listings'!$C$5:$C$200,R$4,'QC listings'!$F$5:$F$200,"Listing page")+COUNTIFS('QC listings'!$A$5:$A$200,$M92,'QC listings'!$C$5:$C$200,R$4,'QC listings'!$F$5:$F$200,"Brand page")&gt;0,"Y",IF(COUNTIFS('QC listings'!$A$5:$A$200,$M92,'QC listings'!$C$5:$C$200,R$4)&gt;0,"?","–")))</f>
        <v/>
      </c>
      <c r="S92" s="12" t="str">
        <f aca="false">IF($M92="","",COUNTIF(O92:R92,"Y"))</f>
        <v/>
      </c>
      <c r="T92" s="23" t="str">
        <f aca="false">IF($M92="","",SUMPRODUCT(MAX(('QC listings'!$A$5:$A$200=$M92)*'QC listings'!$E$5:$E$200)))</f>
        <v/>
      </c>
      <c r="U92" s="12" t="str">
        <f aca="false">IF($M92="","",IF(T92&gt;=Scoring!$B$11,3,IF(T92&gt;=Scoring!$B$10,2,IF(T92&gt;=Scoring!$B$9,1,0))))</f>
        <v/>
      </c>
      <c r="V92" s="12" t="n">
        <f aca="false">IFERROR(INDEX(Scoring!$B$27:$B$56,MATCH($E92,Scoring!$A$27:$A$56,0)),0)</f>
        <v>0</v>
      </c>
      <c r="W92" s="24" t="n">
        <f aca="false">IF($G92="","",ROUND((Scoring!$B$5-$G92)/30.4375,1))</f>
        <v>14.7</v>
      </c>
      <c r="X92" s="12" t="n">
        <f aca="false">IF($F92="Expired",Scoring!$B$18,IF($G92="",Scoring!$B$17,IF(W92&lt;=Scoring!$B$12,Scoring!$B$13,IF(W92&lt;=Scoring!$B$14,Scoring!$B$15,Scoring!$B$16))))</f>
        <v>1</v>
      </c>
      <c r="Y92" s="15" t="str">
        <f aca="false">IF($M92="","",ROUND((S92*Scoring!$B$6+U92*Scoring!$B$7)*IFERROR(INDEX(Scoring!$B$22:$B$24,MATCH($N92,Scoring!$A$22:$A$24,0)),1)+V92*Scoring!$B$8+X92,2))</f>
        <v/>
      </c>
      <c r="Z92" s="12" t="str">
        <f aca="false">IF($M92="","",IF(SUMPRODUCT(($M$5:$M$249=$M92)*($G$5:$G$249&gt;$G92))&gt;0,0,IF(SUMPRODUCT(($M$5:$M$249=$M92)*($G$5:$G$249=$G92)*(ROW($M$5:$M$249)&lt;ROW($M92)))&gt;0,0,1)))</f>
        <v/>
      </c>
      <c r="AA92" s="12" t="str">
        <f aca="false">IF($Z92=1,RANK($AE92,$AE$5:$AE$249,0),"")</f>
        <v/>
      </c>
      <c r="AB92" s="7" t="s">
        <v>153</v>
      </c>
      <c r="AC92" s="6" t="s">
        <v>154</v>
      </c>
      <c r="AD92" s="6"/>
      <c r="AE92" s="25" t="str">
        <f aca="false">IF($Z92=1,$Y92+$T92/1000000000-ROW()/10000000,"")</f>
        <v/>
      </c>
    </row>
    <row r="93" customFormat="false" ht="23.85" hidden="false" customHeight="false" outlineLevel="0" collapsed="false">
      <c r="A93" s="7" t="s">
        <v>604</v>
      </c>
      <c r="B93" s="6" t="s">
        <v>605</v>
      </c>
      <c r="C93" s="6" t="s">
        <v>606</v>
      </c>
      <c r="D93" s="7" t="s">
        <v>145</v>
      </c>
      <c r="E93" s="7" t="s">
        <v>572</v>
      </c>
      <c r="F93" s="12" t="s">
        <v>147</v>
      </c>
      <c r="G93" s="13" t="n">
        <v>45938</v>
      </c>
      <c r="H93" s="7" t="s">
        <v>607</v>
      </c>
      <c r="I93" s="6" t="s">
        <v>149</v>
      </c>
      <c r="J93" s="7" t="s">
        <v>60</v>
      </c>
      <c r="K93" s="12"/>
      <c r="L93" s="10" t="s">
        <v>608</v>
      </c>
      <c r="M93" s="7"/>
      <c r="N93" s="12"/>
      <c r="O93" s="12" t="str">
        <f aca="false">IF($M93="","",IF(COUNTIFS('QC listings'!$A$5:$A$200,$M93,'QC listings'!$C$5:$C$200,O$4,'QC listings'!$F$5:$F$200,"Listing page")+COUNTIFS('QC listings'!$A$5:$A$200,$M93,'QC listings'!$C$5:$C$200,O$4,'QC listings'!$F$5:$F$200,"Brand page")&gt;0,"Y",IF(COUNTIFS('QC listings'!$A$5:$A$200,$M93,'QC listings'!$C$5:$C$200,O$4)&gt;0,"?","–")))</f>
        <v/>
      </c>
      <c r="P93" s="12" t="str">
        <f aca="false">IF($M93="","",IF(COUNTIFS('QC listings'!$A$5:$A$200,$M93,'QC listings'!$C$5:$C$200,P$4,'QC listings'!$F$5:$F$200,"Listing page")+COUNTIFS('QC listings'!$A$5:$A$200,$M93,'QC listings'!$C$5:$C$200,P$4,'QC listings'!$F$5:$F$200,"Brand page")&gt;0,"Y",IF(COUNTIFS('QC listings'!$A$5:$A$200,$M93,'QC listings'!$C$5:$C$200,P$4)&gt;0,"?","–")))</f>
        <v/>
      </c>
      <c r="Q93" s="12" t="str">
        <f aca="false">IF($M93="","",IF(COUNTIFS('QC listings'!$A$5:$A$200,$M93,'QC listings'!$C$5:$C$200,Q$4,'QC listings'!$F$5:$F$200,"Listing page")+COUNTIFS('QC listings'!$A$5:$A$200,$M93,'QC listings'!$C$5:$C$200,Q$4,'QC listings'!$F$5:$F$200,"Brand page")&gt;0,"Y",IF(COUNTIFS('QC listings'!$A$5:$A$200,$M93,'QC listings'!$C$5:$C$200,Q$4)&gt;0,"?","–")))</f>
        <v/>
      </c>
      <c r="R93" s="12" t="str">
        <f aca="false">IF($M93="","",IF(COUNTIFS('QC listings'!$A$5:$A$200,$M93,'QC listings'!$C$5:$C$200,R$4,'QC listings'!$F$5:$F$200,"Listing page")+COUNTIFS('QC listings'!$A$5:$A$200,$M93,'QC listings'!$C$5:$C$200,R$4,'QC listings'!$F$5:$F$200,"Brand page")&gt;0,"Y",IF(COUNTIFS('QC listings'!$A$5:$A$200,$M93,'QC listings'!$C$5:$C$200,R$4)&gt;0,"?","–")))</f>
        <v/>
      </c>
      <c r="S93" s="12" t="str">
        <f aca="false">IF($M93="","",COUNTIF(O93:R93,"Y"))</f>
        <v/>
      </c>
      <c r="T93" s="23" t="str">
        <f aca="false">IF($M93="","",SUMPRODUCT(MAX(('QC listings'!$A$5:$A$200=$M93)*'QC listings'!$E$5:$E$200)))</f>
        <v/>
      </c>
      <c r="U93" s="12" t="str">
        <f aca="false">IF($M93="","",IF(T93&gt;=Scoring!$B$11,3,IF(T93&gt;=Scoring!$B$10,2,IF(T93&gt;=Scoring!$B$9,1,0))))</f>
        <v/>
      </c>
      <c r="V93" s="12" t="n">
        <f aca="false">IFERROR(INDEX(Scoring!$B$27:$B$56,MATCH($E93,Scoring!$A$27:$A$56,0)),0)</f>
        <v>0</v>
      </c>
      <c r="W93" s="24" t="n">
        <f aca="false">IF($G93="","",ROUND((Scoring!$B$5-$G93)/30.4375,1))</f>
        <v>11.8</v>
      </c>
      <c r="X93" s="12" t="n">
        <f aca="false">IF($F93="Expired",Scoring!$B$18,IF($G93="",Scoring!$B$17,IF(W93&lt;=Scoring!$B$12,Scoring!$B$13,IF(W93&lt;=Scoring!$B$14,Scoring!$B$15,Scoring!$B$16))))</f>
        <v>2</v>
      </c>
      <c r="Y93" s="15" t="str">
        <f aca="false">IF($M93="","",ROUND((S93*Scoring!$B$6+U93*Scoring!$B$7)*IFERROR(INDEX(Scoring!$B$22:$B$24,MATCH($N93,Scoring!$A$22:$A$24,0)),1)+V93*Scoring!$B$8+X93,2))</f>
        <v/>
      </c>
      <c r="Z93" s="12" t="str">
        <f aca="false">IF($M93="","",IF(SUMPRODUCT(($M$5:$M$249=$M93)*($G$5:$G$249&gt;$G93))&gt;0,0,IF(SUMPRODUCT(($M$5:$M$249=$M93)*($G$5:$G$249=$G93)*(ROW($M$5:$M$249)&lt;ROW($M93)))&gt;0,0,1)))</f>
        <v/>
      </c>
      <c r="AA93" s="12" t="str">
        <f aca="false">IF($Z93=1,RANK($AE93,$AE$5:$AE$249,0),"")</f>
        <v/>
      </c>
      <c r="AB93" s="7" t="s">
        <v>153</v>
      </c>
      <c r="AC93" s="6" t="s">
        <v>154</v>
      </c>
      <c r="AD93" s="6"/>
      <c r="AE93" s="25" t="str">
        <f aca="false">IF($Z93=1,$Y93+$T93/1000000000-ROW()/10000000,"")</f>
        <v/>
      </c>
    </row>
    <row r="94" customFormat="false" ht="23.85" hidden="false" customHeight="false" outlineLevel="0" collapsed="false">
      <c r="A94" s="7" t="s">
        <v>609</v>
      </c>
      <c r="B94" s="6" t="s">
        <v>610</v>
      </c>
      <c r="C94" s="6" t="s">
        <v>611</v>
      </c>
      <c r="D94" s="7" t="s">
        <v>145</v>
      </c>
      <c r="E94" s="7" t="s">
        <v>572</v>
      </c>
      <c r="F94" s="12" t="s">
        <v>158</v>
      </c>
      <c r="G94" s="13" t="n">
        <v>45928</v>
      </c>
      <c r="H94" s="7" t="s">
        <v>612</v>
      </c>
      <c r="I94" s="6" t="s">
        <v>149</v>
      </c>
      <c r="J94" s="7" t="s">
        <v>60</v>
      </c>
      <c r="K94" s="12"/>
      <c r="L94" s="10" t="s">
        <v>613</v>
      </c>
      <c r="M94" s="7"/>
      <c r="N94" s="12"/>
      <c r="O94" s="12" t="str">
        <f aca="false">IF($M94="","",IF(COUNTIFS('QC listings'!$A$5:$A$200,$M94,'QC listings'!$C$5:$C$200,O$4,'QC listings'!$F$5:$F$200,"Listing page")+COUNTIFS('QC listings'!$A$5:$A$200,$M94,'QC listings'!$C$5:$C$200,O$4,'QC listings'!$F$5:$F$200,"Brand page")&gt;0,"Y",IF(COUNTIFS('QC listings'!$A$5:$A$200,$M94,'QC listings'!$C$5:$C$200,O$4)&gt;0,"?","–")))</f>
        <v/>
      </c>
      <c r="P94" s="12" t="str">
        <f aca="false">IF($M94="","",IF(COUNTIFS('QC listings'!$A$5:$A$200,$M94,'QC listings'!$C$5:$C$200,P$4,'QC listings'!$F$5:$F$200,"Listing page")+COUNTIFS('QC listings'!$A$5:$A$200,$M94,'QC listings'!$C$5:$C$200,P$4,'QC listings'!$F$5:$F$200,"Brand page")&gt;0,"Y",IF(COUNTIFS('QC listings'!$A$5:$A$200,$M94,'QC listings'!$C$5:$C$200,P$4)&gt;0,"?","–")))</f>
        <v/>
      </c>
      <c r="Q94" s="12" t="str">
        <f aca="false">IF($M94="","",IF(COUNTIFS('QC listings'!$A$5:$A$200,$M94,'QC listings'!$C$5:$C$200,Q$4,'QC listings'!$F$5:$F$200,"Listing page")+COUNTIFS('QC listings'!$A$5:$A$200,$M94,'QC listings'!$C$5:$C$200,Q$4,'QC listings'!$F$5:$F$200,"Brand page")&gt;0,"Y",IF(COUNTIFS('QC listings'!$A$5:$A$200,$M94,'QC listings'!$C$5:$C$200,Q$4)&gt;0,"?","–")))</f>
        <v/>
      </c>
      <c r="R94" s="12" t="str">
        <f aca="false">IF($M94="","",IF(COUNTIFS('QC listings'!$A$5:$A$200,$M94,'QC listings'!$C$5:$C$200,R$4,'QC listings'!$F$5:$F$200,"Listing page")+COUNTIFS('QC listings'!$A$5:$A$200,$M94,'QC listings'!$C$5:$C$200,R$4,'QC listings'!$F$5:$F$200,"Brand page")&gt;0,"Y",IF(COUNTIFS('QC listings'!$A$5:$A$200,$M94,'QC listings'!$C$5:$C$200,R$4)&gt;0,"?","–")))</f>
        <v/>
      </c>
      <c r="S94" s="12" t="str">
        <f aca="false">IF($M94="","",COUNTIF(O94:R94,"Y"))</f>
        <v/>
      </c>
      <c r="T94" s="23" t="str">
        <f aca="false">IF($M94="","",SUMPRODUCT(MAX(('QC listings'!$A$5:$A$200=$M94)*'QC listings'!$E$5:$E$200)))</f>
        <v/>
      </c>
      <c r="U94" s="12" t="str">
        <f aca="false">IF($M94="","",IF(T94&gt;=Scoring!$B$11,3,IF(T94&gt;=Scoring!$B$10,2,IF(T94&gt;=Scoring!$B$9,1,0))))</f>
        <v/>
      </c>
      <c r="V94" s="12" t="n">
        <f aca="false">IFERROR(INDEX(Scoring!$B$27:$B$56,MATCH($E94,Scoring!$A$27:$A$56,0)),0)</f>
        <v>0</v>
      </c>
      <c r="W94" s="24" t="n">
        <f aca="false">IF($G94="","",ROUND((Scoring!$B$5-$G94)/30.4375,1))</f>
        <v>12.1</v>
      </c>
      <c r="X94" s="12" t="n">
        <f aca="false">IF($F94="Expired",Scoring!$B$18,IF($G94="",Scoring!$B$17,IF(W94&lt;=Scoring!$B$12,Scoring!$B$13,IF(W94&lt;=Scoring!$B$14,Scoring!$B$15,Scoring!$B$16))))</f>
        <v>1</v>
      </c>
      <c r="Y94" s="15" t="str">
        <f aca="false">IF($M94="","",ROUND((S94*Scoring!$B$6+U94*Scoring!$B$7)*IFERROR(INDEX(Scoring!$B$22:$B$24,MATCH($N94,Scoring!$A$22:$A$24,0)),1)+V94*Scoring!$B$8+X94,2))</f>
        <v/>
      </c>
      <c r="Z94" s="12" t="str">
        <f aca="false">IF($M94="","",IF(SUMPRODUCT(($M$5:$M$249=$M94)*($G$5:$G$249&gt;$G94))&gt;0,0,IF(SUMPRODUCT(($M$5:$M$249=$M94)*($G$5:$G$249=$G94)*(ROW($M$5:$M$249)&lt;ROW($M94)))&gt;0,0,1)))</f>
        <v/>
      </c>
      <c r="AA94" s="12" t="str">
        <f aca="false">IF($Z94=1,RANK($AE94,$AE$5:$AE$249,0),"")</f>
        <v/>
      </c>
      <c r="AB94" s="7" t="s">
        <v>153</v>
      </c>
      <c r="AC94" s="6" t="s">
        <v>162</v>
      </c>
      <c r="AD94" s="6"/>
      <c r="AE94" s="25" t="str">
        <f aca="false">IF($Z94=1,$Y94+$T94/1000000000-ROW()/10000000,"")</f>
        <v/>
      </c>
    </row>
    <row r="95" customFormat="false" ht="23.85" hidden="false" customHeight="false" outlineLevel="0" collapsed="false">
      <c r="A95" s="7" t="s">
        <v>614</v>
      </c>
      <c r="B95" s="6" t="s">
        <v>615</v>
      </c>
      <c r="C95" s="6" t="s">
        <v>616</v>
      </c>
      <c r="D95" s="7" t="s">
        <v>145</v>
      </c>
      <c r="E95" s="7" t="s">
        <v>572</v>
      </c>
      <c r="F95" s="12" t="s">
        <v>158</v>
      </c>
      <c r="G95" s="13" t="n">
        <v>45648</v>
      </c>
      <c r="H95" s="7" t="s">
        <v>617</v>
      </c>
      <c r="I95" s="6" t="s">
        <v>149</v>
      </c>
      <c r="J95" s="7" t="s">
        <v>60</v>
      </c>
      <c r="K95" s="12"/>
      <c r="L95" s="10" t="s">
        <v>618</v>
      </c>
      <c r="M95" s="7"/>
      <c r="N95" s="12"/>
      <c r="O95" s="12" t="str">
        <f aca="false">IF($M95="","",IF(COUNTIFS('QC listings'!$A$5:$A$200,$M95,'QC listings'!$C$5:$C$200,O$4,'QC listings'!$F$5:$F$200,"Listing page")+COUNTIFS('QC listings'!$A$5:$A$200,$M95,'QC listings'!$C$5:$C$200,O$4,'QC listings'!$F$5:$F$200,"Brand page")&gt;0,"Y",IF(COUNTIFS('QC listings'!$A$5:$A$200,$M95,'QC listings'!$C$5:$C$200,O$4)&gt;0,"?","–")))</f>
        <v/>
      </c>
      <c r="P95" s="12" t="str">
        <f aca="false">IF($M95="","",IF(COUNTIFS('QC listings'!$A$5:$A$200,$M95,'QC listings'!$C$5:$C$200,P$4,'QC listings'!$F$5:$F$200,"Listing page")+COUNTIFS('QC listings'!$A$5:$A$200,$M95,'QC listings'!$C$5:$C$200,P$4,'QC listings'!$F$5:$F$200,"Brand page")&gt;0,"Y",IF(COUNTIFS('QC listings'!$A$5:$A$200,$M95,'QC listings'!$C$5:$C$200,P$4)&gt;0,"?","–")))</f>
        <v/>
      </c>
      <c r="Q95" s="12" t="str">
        <f aca="false">IF($M95="","",IF(COUNTIFS('QC listings'!$A$5:$A$200,$M95,'QC listings'!$C$5:$C$200,Q$4,'QC listings'!$F$5:$F$200,"Listing page")+COUNTIFS('QC listings'!$A$5:$A$200,$M95,'QC listings'!$C$5:$C$200,Q$4,'QC listings'!$F$5:$F$200,"Brand page")&gt;0,"Y",IF(COUNTIFS('QC listings'!$A$5:$A$200,$M95,'QC listings'!$C$5:$C$200,Q$4)&gt;0,"?","–")))</f>
        <v/>
      </c>
      <c r="R95" s="12" t="str">
        <f aca="false">IF($M95="","",IF(COUNTIFS('QC listings'!$A$5:$A$200,$M95,'QC listings'!$C$5:$C$200,R$4,'QC listings'!$F$5:$F$200,"Listing page")+COUNTIFS('QC listings'!$A$5:$A$200,$M95,'QC listings'!$C$5:$C$200,R$4,'QC listings'!$F$5:$F$200,"Brand page")&gt;0,"Y",IF(COUNTIFS('QC listings'!$A$5:$A$200,$M95,'QC listings'!$C$5:$C$200,R$4)&gt;0,"?","–")))</f>
        <v/>
      </c>
      <c r="S95" s="12" t="str">
        <f aca="false">IF($M95="","",COUNTIF(O95:R95,"Y"))</f>
        <v/>
      </c>
      <c r="T95" s="23" t="str">
        <f aca="false">IF($M95="","",SUMPRODUCT(MAX(('QC listings'!$A$5:$A$200=$M95)*'QC listings'!$E$5:$E$200)))</f>
        <v/>
      </c>
      <c r="U95" s="12" t="str">
        <f aca="false">IF($M95="","",IF(T95&gt;=Scoring!$B$11,3,IF(T95&gt;=Scoring!$B$10,2,IF(T95&gt;=Scoring!$B$9,1,0))))</f>
        <v/>
      </c>
      <c r="V95" s="12" t="n">
        <f aca="false">IFERROR(INDEX(Scoring!$B$27:$B$56,MATCH($E95,Scoring!$A$27:$A$56,0)),0)</f>
        <v>0</v>
      </c>
      <c r="W95" s="24" t="n">
        <f aca="false">IF($G95="","",ROUND((Scoring!$B$5-$G95)/30.4375,1))</f>
        <v>21.3</v>
      </c>
      <c r="X95" s="12" t="n">
        <f aca="false">IF($F95="Expired",Scoring!$B$18,IF($G95="",Scoring!$B$17,IF(W95&lt;=Scoring!$B$12,Scoring!$B$13,IF(W95&lt;=Scoring!$B$14,Scoring!$B$15,Scoring!$B$16))))</f>
        <v>1</v>
      </c>
      <c r="Y95" s="15" t="str">
        <f aca="false">IF($M95="","",ROUND((S95*Scoring!$B$6+U95*Scoring!$B$7)*IFERROR(INDEX(Scoring!$B$22:$B$24,MATCH($N95,Scoring!$A$22:$A$24,0)),1)+V95*Scoring!$B$8+X95,2))</f>
        <v/>
      </c>
      <c r="Z95" s="12" t="str">
        <f aca="false">IF($M95="","",IF(SUMPRODUCT(($M$5:$M$249=$M95)*($G$5:$G$249&gt;$G95))&gt;0,0,IF(SUMPRODUCT(($M$5:$M$249=$M95)*($G$5:$G$249=$G95)*(ROW($M$5:$M$249)&lt;ROW($M95)))&gt;0,0,1)))</f>
        <v/>
      </c>
      <c r="AA95" s="12" t="str">
        <f aca="false">IF($Z95=1,RANK($AE95,$AE$5:$AE$249,0),"")</f>
        <v/>
      </c>
      <c r="AB95" s="7" t="s">
        <v>153</v>
      </c>
      <c r="AC95" s="6" t="s">
        <v>162</v>
      </c>
      <c r="AD95" s="6"/>
      <c r="AE95" s="25" t="str">
        <f aca="false">IF($Z95=1,$Y95+$T95/1000000000-ROW()/10000000,"")</f>
        <v/>
      </c>
    </row>
    <row r="96" customFormat="false" ht="23.85" hidden="false" customHeight="false" outlineLevel="0" collapsed="false">
      <c r="A96" s="7" t="s">
        <v>619</v>
      </c>
      <c r="B96" s="6" t="s">
        <v>615</v>
      </c>
      <c r="C96" s="6" t="s">
        <v>620</v>
      </c>
      <c r="D96" s="7" t="s">
        <v>145</v>
      </c>
      <c r="E96" s="7" t="s">
        <v>572</v>
      </c>
      <c r="F96" s="12" t="s">
        <v>158</v>
      </c>
      <c r="G96" s="13" t="n">
        <v>45648</v>
      </c>
      <c r="H96" s="7" t="s">
        <v>621</v>
      </c>
      <c r="I96" s="6" t="s">
        <v>149</v>
      </c>
      <c r="J96" s="7" t="s">
        <v>60</v>
      </c>
      <c r="K96" s="12"/>
      <c r="L96" s="10" t="s">
        <v>622</v>
      </c>
      <c r="M96" s="7"/>
      <c r="N96" s="12"/>
      <c r="O96" s="12" t="str">
        <f aca="false">IF($M96="","",IF(COUNTIFS('QC listings'!$A$5:$A$200,$M96,'QC listings'!$C$5:$C$200,O$4,'QC listings'!$F$5:$F$200,"Listing page")+COUNTIFS('QC listings'!$A$5:$A$200,$M96,'QC listings'!$C$5:$C$200,O$4,'QC listings'!$F$5:$F$200,"Brand page")&gt;0,"Y",IF(COUNTIFS('QC listings'!$A$5:$A$200,$M96,'QC listings'!$C$5:$C$200,O$4)&gt;0,"?","–")))</f>
        <v/>
      </c>
      <c r="P96" s="12" t="str">
        <f aca="false">IF($M96="","",IF(COUNTIFS('QC listings'!$A$5:$A$200,$M96,'QC listings'!$C$5:$C$200,P$4,'QC listings'!$F$5:$F$200,"Listing page")+COUNTIFS('QC listings'!$A$5:$A$200,$M96,'QC listings'!$C$5:$C$200,P$4,'QC listings'!$F$5:$F$200,"Brand page")&gt;0,"Y",IF(COUNTIFS('QC listings'!$A$5:$A$200,$M96,'QC listings'!$C$5:$C$200,P$4)&gt;0,"?","–")))</f>
        <v/>
      </c>
      <c r="Q96" s="12" t="str">
        <f aca="false">IF($M96="","",IF(COUNTIFS('QC listings'!$A$5:$A$200,$M96,'QC listings'!$C$5:$C$200,Q$4,'QC listings'!$F$5:$F$200,"Listing page")+COUNTIFS('QC listings'!$A$5:$A$200,$M96,'QC listings'!$C$5:$C$200,Q$4,'QC listings'!$F$5:$F$200,"Brand page")&gt;0,"Y",IF(COUNTIFS('QC listings'!$A$5:$A$200,$M96,'QC listings'!$C$5:$C$200,Q$4)&gt;0,"?","–")))</f>
        <v/>
      </c>
      <c r="R96" s="12" t="str">
        <f aca="false">IF($M96="","",IF(COUNTIFS('QC listings'!$A$5:$A$200,$M96,'QC listings'!$C$5:$C$200,R$4,'QC listings'!$F$5:$F$200,"Listing page")+COUNTIFS('QC listings'!$A$5:$A$200,$M96,'QC listings'!$C$5:$C$200,R$4,'QC listings'!$F$5:$F$200,"Brand page")&gt;0,"Y",IF(COUNTIFS('QC listings'!$A$5:$A$200,$M96,'QC listings'!$C$5:$C$200,R$4)&gt;0,"?","–")))</f>
        <v/>
      </c>
      <c r="S96" s="12" t="str">
        <f aca="false">IF($M96="","",COUNTIF(O96:R96,"Y"))</f>
        <v/>
      </c>
      <c r="T96" s="23" t="str">
        <f aca="false">IF($M96="","",SUMPRODUCT(MAX(('QC listings'!$A$5:$A$200=$M96)*'QC listings'!$E$5:$E$200)))</f>
        <v/>
      </c>
      <c r="U96" s="12" t="str">
        <f aca="false">IF($M96="","",IF(T96&gt;=Scoring!$B$11,3,IF(T96&gt;=Scoring!$B$10,2,IF(T96&gt;=Scoring!$B$9,1,0))))</f>
        <v/>
      </c>
      <c r="V96" s="12" t="n">
        <f aca="false">IFERROR(INDEX(Scoring!$B$27:$B$56,MATCH($E96,Scoring!$A$27:$A$56,0)),0)</f>
        <v>0</v>
      </c>
      <c r="W96" s="24" t="n">
        <f aca="false">IF($G96="","",ROUND((Scoring!$B$5-$G96)/30.4375,1))</f>
        <v>21.3</v>
      </c>
      <c r="X96" s="12" t="n">
        <f aca="false">IF($F96="Expired",Scoring!$B$18,IF($G96="",Scoring!$B$17,IF(W96&lt;=Scoring!$B$12,Scoring!$B$13,IF(W96&lt;=Scoring!$B$14,Scoring!$B$15,Scoring!$B$16))))</f>
        <v>1</v>
      </c>
      <c r="Y96" s="15" t="str">
        <f aca="false">IF($M96="","",ROUND((S96*Scoring!$B$6+U96*Scoring!$B$7)*IFERROR(INDEX(Scoring!$B$22:$B$24,MATCH($N96,Scoring!$A$22:$A$24,0)),1)+V96*Scoring!$B$8+X96,2))</f>
        <v/>
      </c>
      <c r="Z96" s="12" t="str">
        <f aca="false">IF($M96="","",IF(SUMPRODUCT(($M$5:$M$249=$M96)*($G$5:$G$249&gt;$G96))&gt;0,0,IF(SUMPRODUCT(($M$5:$M$249=$M96)*($G$5:$G$249=$G96)*(ROW($M$5:$M$249)&lt;ROW($M96)))&gt;0,0,1)))</f>
        <v/>
      </c>
      <c r="AA96" s="12" t="str">
        <f aca="false">IF($Z96=1,RANK($AE96,$AE$5:$AE$249,0),"")</f>
        <v/>
      </c>
      <c r="AB96" s="7" t="s">
        <v>153</v>
      </c>
      <c r="AC96" s="6" t="s">
        <v>162</v>
      </c>
      <c r="AD96" s="6"/>
      <c r="AE96" s="25" t="str">
        <f aca="false">IF($Z96=1,$Y96+$T96/1000000000-ROW()/10000000,"")</f>
        <v/>
      </c>
    </row>
    <row r="97" customFormat="false" ht="23.85" hidden="false" customHeight="false" outlineLevel="0" collapsed="false">
      <c r="A97" s="7" t="s">
        <v>623</v>
      </c>
      <c r="B97" s="6" t="s">
        <v>624</v>
      </c>
      <c r="C97" s="6" t="s">
        <v>625</v>
      </c>
      <c r="D97" s="7" t="s">
        <v>145</v>
      </c>
      <c r="E97" s="7" t="s">
        <v>572</v>
      </c>
      <c r="F97" s="12" t="s">
        <v>201</v>
      </c>
      <c r="G97" s="13"/>
      <c r="H97" s="7"/>
      <c r="I97" s="6" t="s">
        <v>202</v>
      </c>
      <c r="J97" s="7" t="s">
        <v>203</v>
      </c>
      <c r="K97" s="12"/>
      <c r="L97" s="10" t="s">
        <v>626</v>
      </c>
      <c r="M97" s="7"/>
      <c r="N97" s="12"/>
      <c r="O97" s="12" t="str">
        <f aca="false">IF($M97="","",IF(COUNTIFS('QC listings'!$A$5:$A$200,$M97,'QC listings'!$C$5:$C$200,O$4,'QC listings'!$F$5:$F$200,"Listing page")+COUNTIFS('QC listings'!$A$5:$A$200,$M97,'QC listings'!$C$5:$C$200,O$4,'QC listings'!$F$5:$F$200,"Brand page")&gt;0,"Y",IF(COUNTIFS('QC listings'!$A$5:$A$200,$M97,'QC listings'!$C$5:$C$200,O$4)&gt;0,"?","–")))</f>
        <v/>
      </c>
      <c r="P97" s="12" t="str">
        <f aca="false">IF($M97="","",IF(COUNTIFS('QC listings'!$A$5:$A$200,$M97,'QC listings'!$C$5:$C$200,P$4,'QC listings'!$F$5:$F$200,"Listing page")+COUNTIFS('QC listings'!$A$5:$A$200,$M97,'QC listings'!$C$5:$C$200,P$4,'QC listings'!$F$5:$F$200,"Brand page")&gt;0,"Y",IF(COUNTIFS('QC listings'!$A$5:$A$200,$M97,'QC listings'!$C$5:$C$200,P$4)&gt;0,"?","–")))</f>
        <v/>
      </c>
      <c r="Q97" s="12" t="str">
        <f aca="false">IF($M97="","",IF(COUNTIFS('QC listings'!$A$5:$A$200,$M97,'QC listings'!$C$5:$C$200,Q$4,'QC listings'!$F$5:$F$200,"Listing page")+COUNTIFS('QC listings'!$A$5:$A$200,$M97,'QC listings'!$C$5:$C$200,Q$4,'QC listings'!$F$5:$F$200,"Brand page")&gt;0,"Y",IF(COUNTIFS('QC listings'!$A$5:$A$200,$M97,'QC listings'!$C$5:$C$200,Q$4)&gt;0,"?","–")))</f>
        <v/>
      </c>
      <c r="R97" s="12" t="str">
        <f aca="false">IF($M97="","",IF(COUNTIFS('QC listings'!$A$5:$A$200,$M97,'QC listings'!$C$5:$C$200,R$4,'QC listings'!$F$5:$F$200,"Listing page")+COUNTIFS('QC listings'!$A$5:$A$200,$M97,'QC listings'!$C$5:$C$200,R$4,'QC listings'!$F$5:$F$200,"Brand page")&gt;0,"Y",IF(COUNTIFS('QC listings'!$A$5:$A$200,$M97,'QC listings'!$C$5:$C$200,R$4)&gt;0,"?","–")))</f>
        <v/>
      </c>
      <c r="S97" s="12" t="str">
        <f aca="false">IF($M97="","",COUNTIF(O97:R97,"Y"))</f>
        <v/>
      </c>
      <c r="T97" s="23" t="str">
        <f aca="false">IF($M97="","",SUMPRODUCT(MAX(('QC listings'!$A$5:$A$200=$M97)*'QC listings'!$E$5:$E$200)))</f>
        <v/>
      </c>
      <c r="U97" s="12" t="str">
        <f aca="false">IF($M97="","",IF(T97&gt;=Scoring!$B$11,3,IF(T97&gt;=Scoring!$B$10,2,IF(T97&gt;=Scoring!$B$9,1,0))))</f>
        <v/>
      </c>
      <c r="V97" s="12" t="n">
        <f aca="false">IFERROR(INDEX(Scoring!$B$27:$B$56,MATCH($E97,Scoring!$A$27:$A$56,0)),0)</f>
        <v>0</v>
      </c>
      <c r="W97" s="24" t="str">
        <f aca="false">IF($G97="","",ROUND((Scoring!$B$5-$G97)/30.4375,1))</f>
        <v/>
      </c>
      <c r="X97" s="12" t="n">
        <f aca="false">IF($F97="Expired",Scoring!$B$18,IF($G97="",Scoring!$B$17,IF(W97&lt;=Scoring!$B$12,Scoring!$B$13,IF(W97&lt;=Scoring!$B$14,Scoring!$B$15,Scoring!$B$16))))</f>
        <v>1</v>
      </c>
      <c r="Y97" s="15" t="str">
        <f aca="false">IF($M97="","",ROUND((S97*Scoring!$B$6+U97*Scoring!$B$7)*IFERROR(INDEX(Scoring!$B$22:$B$24,MATCH($N97,Scoring!$A$22:$A$24,0)),1)+V97*Scoring!$B$8+X97,2))</f>
        <v/>
      </c>
      <c r="Z97" s="12" t="str">
        <f aca="false">IF($M97="","",IF(SUMPRODUCT(($M$5:$M$249=$M97)*($G$5:$G$249&gt;$G97))&gt;0,0,IF(SUMPRODUCT(($M$5:$M$249=$M97)*($G$5:$G$249=$G97)*(ROW($M$5:$M$249)&lt;ROW($M97)))&gt;0,0,1)))</f>
        <v/>
      </c>
      <c r="AA97" s="12" t="str">
        <f aca="false">IF($Z97=1,RANK($AE97,$AE$5:$AE$249,0),"")</f>
        <v/>
      </c>
      <c r="AB97" s="7" t="s">
        <v>205</v>
      </c>
      <c r="AC97" s="6" t="s">
        <v>206</v>
      </c>
      <c r="AD97" s="6"/>
      <c r="AE97" s="25" t="str">
        <f aca="false">IF($Z97=1,$Y97+$T97/1000000000-ROW()/10000000,"")</f>
        <v/>
      </c>
    </row>
    <row r="98" customFormat="false" ht="23.85" hidden="false" customHeight="false" outlineLevel="0" collapsed="false">
      <c r="A98" s="7" t="s">
        <v>627</v>
      </c>
      <c r="B98" s="6" t="s">
        <v>509</v>
      </c>
      <c r="C98" s="6" t="s">
        <v>628</v>
      </c>
      <c r="D98" s="7" t="s">
        <v>145</v>
      </c>
      <c r="E98" s="7" t="s">
        <v>572</v>
      </c>
      <c r="F98" s="12" t="s">
        <v>201</v>
      </c>
      <c r="G98" s="13"/>
      <c r="H98" s="7"/>
      <c r="I98" s="6" t="s">
        <v>202</v>
      </c>
      <c r="J98" s="7" t="s">
        <v>203</v>
      </c>
      <c r="K98" s="12"/>
      <c r="L98" s="10" t="s">
        <v>629</v>
      </c>
      <c r="M98" s="7"/>
      <c r="N98" s="12"/>
      <c r="O98" s="12" t="str">
        <f aca="false">IF($M98="","",IF(COUNTIFS('QC listings'!$A$5:$A$200,$M98,'QC listings'!$C$5:$C$200,O$4,'QC listings'!$F$5:$F$200,"Listing page")+COUNTIFS('QC listings'!$A$5:$A$200,$M98,'QC listings'!$C$5:$C$200,O$4,'QC listings'!$F$5:$F$200,"Brand page")&gt;0,"Y",IF(COUNTIFS('QC listings'!$A$5:$A$200,$M98,'QC listings'!$C$5:$C$200,O$4)&gt;0,"?","–")))</f>
        <v/>
      </c>
      <c r="P98" s="12" t="str">
        <f aca="false">IF($M98="","",IF(COUNTIFS('QC listings'!$A$5:$A$200,$M98,'QC listings'!$C$5:$C$200,P$4,'QC listings'!$F$5:$F$200,"Listing page")+COUNTIFS('QC listings'!$A$5:$A$200,$M98,'QC listings'!$C$5:$C$200,P$4,'QC listings'!$F$5:$F$200,"Brand page")&gt;0,"Y",IF(COUNTIFS('QC listings'!$A$5:$A$200,$M98,'QC listings'!$C$5:$C$200,P$4)&gt;0,"?","–")))</f>
        <v/>
      </c>
      <c r="Q98" s="12" t="str">
        <f aca="false">IF($M98="","",IF(COUNTIFS('QC listings'!$A$5:$A$200,$M98,'QC listings'!$C$5:$C$200,Q$4,'QC listings'!$F$5:$F$200,"Listing page")+COUNTIFS('QC listings'!$A$5:$A$200,$M98,'QC listings'!$C$5:$C$200,Q$4,'QC listings'!$F$5:$F$200,"Brand page")&gt;0,"Y",IF(COUNTIFS('QC listings'!$A$5:$A$200,$M98,'QC listings'!$C$5:$C$200,Q$4)&gt;0,"?","–")))</f>
        <v/>
      </c>
      <c r="R98" s="12" t="str">
        <f aca="false">IF($M98="","",IF(COUNTIFS('QC listings'!$A$5:$A$200,$M98,'QC listings'!$C$5:$C$200,R$4,'QC listings'!$F$5:$F$200,"Listing page")+COUNTIFS('QC listings'!$A$5:$A$200,$M98,'QC listings'!$C$5:$C$200,R$4,'QC listings'!$F$5:$F$200,"Brand page")&gt;0,"Y",IF(COUNTIFS('QC listings'!$A$5:$A$200,$M98,'QC listings'!$C$5:$C$200,R$4)&gt;0,"?","–")))</f>
        <v/>
      </c>
      <c r="S98" s="12" t="str">
        <f aca="false">IF($M98="","",COUNTIF(O98:R98,"Y"))</f>
        <v/>
      </c>
      <c r="T98" s="23" t="str">
        <f aca="false">IF($M98="","",SUMPRODUCT(MAX(('QC listings'!$A$5:$A$200=$M98)*'QC listings'!$E$5:$E$200)))</f>
        <v/>
      </c>
      <c r="U98" s="12" t="str">
        <f aca="false">IF($M98="","",IF(T98&gt;=Scoring!$B$11,3,IF(T98&gt;=Scoring!$B$10,2,IF(T98&gt;=Scoring!$B$9,1,0))))</f>
        <v/>
      </c>
      <c r="V98" s="12" t="n">
        <f aca="false">IFERROR(INDEX(Scoring!$B$27:$B$56,MATCH($E98,Scoring!$A$27:$A$56,0)),0)</f>
        <v>0</v>
      </c>
      <c r="W98" s="24" t="str">
        <f aca="false">IF($G98="","",ROUND((Scoring!$B$5-$G98)/30.4375,1))</f>
        <v/>
      </c>
      <c r="X98" s="12" t="n">
        <f aca="false">IF($F98="Expired",Scoring!$B$18,IF($G98="",Scoring!$B$17,IF(W98&lt;=Scoring!$B$12,Scoring!$B$13,IF(W98&lt;=Scoring!$B$14,Scoring!$B$15,Scoring!$B$16))))</f>
        <v>1</v>
      </c>
      <c r="Y98" s="15" t="str">
        <f aca="false">IF($M98="","",ROUND((S98*Scoring!$B$6+U98*Scoring!$B$7)*IFERROR(INDEX(Scoring!$B$22:$B$24,MATCH($N98,Scoring!$A$22:$A$24,0)),1)+V98*Scoring!$B$8+X98,2))</f>
        <v/>
      </c>
      <c r="Z98" s="12" t="str">
        <f aca="false">IF($M98="","",IF(SUMPRODUCT(($M$5:$M$249=$M98)*($G$5:$G$249&gt;$G98))&gt;0,0,IF(SUMPRODUCT(($M$5:$M$249=$M98)*($G$5:$G$249=$G98)*(ROW($M$5:$M$249)&lt;ROW($M98)))&gt;0,0,1)))</f>
        <v/>
      </c>
      <c r="AA98" s="12" t="str">
        <f aca="false">IF($Z98=1,RANK($AE98,$AE$5:$AE$249,0),"")</f>
        <v/>
      </c>
      <c r="AB98" s="7" t="s">
        <v>205</v>
      </c>
      <c r="AC98" s="6" t="s">
        <v>206</v>
      </c>
      <c r="AD98" s="6"/>
      <c r="AE98" s="25" t="str">
        <f aca="false">IF($Z98=1,$Y98+$T98/1000000000-ROW()/10000000,"")</f>
        <v/>
      </c>
    </row>
    <row r="99" customFormat="false" ht="23.85" hidden="false" customHeight="false" outlineLevel="0" collapsed="false">
      <c r="A99" s="7" t="s">
        <v>630</v>
      </c>
      <c r="B99" s="6" t="s">
        <v>631</v>
      </c>
      <c r="C99" s="6" t="s">
        <v>632</v>
      </c>
      <c r="D99" s="7" t="s">
        <v>145</v>
      </c>
      <c r="E99" s="7" t="s">
        <v>633</v>
      </c>
      <c r="F99" s="12" t="s">
        <v>158</v>
      </c>
      <c r="G99" s="13" t="n">
        <v>46012</v>
      </c>
      <c r="H99" s="7" t="s">
        <v>634</v>
      </c>
      <c r="I99" s="6" t="s">
        <v>149</v>
      </c>
      <c r="J99" s="7" t="s">
        <v>60</v>
      </c>
      <c r="K99" s="12"/>
      <c r="L99" s="10" t="s">
        <v>635</v>
      </c>
      <c r="M99" s="7"/>
      <c r="N99" s="12"/>
      <c r="O99" s="12" t="str">
        <f aca="false">IF($M99="","",IF(COUNTIFS('QC listings'!$A$5:$A$200,$M99,'QC listings'!$C$5:$C$200,O$4,'QC listings'!$F$5:$F$200,"Listing page")+COUNTIFS('QC listings'!$A$5:$A$200,$M99,'QC listings'!$C$5:$C$200,O$4,'QC listings'!$F$5:$F$200,"Brand page")&gt;0,"Y",IF(COUNTIFS('QC listings'!$A$5:$A$200,$M99,'QC listings'!$C$5:$C$200,O$4)&gt;0,"?","–")))</f>
        <v/>
      </c>
      <c r="P99" s="12" t="str">
        <f aca="false">IF($M99="","",IF(COUNTIFS('QC listings'!$A$5:$A$200,$M99,'QC listings'!$C$5:$C$200,P$4,'QC listings'!$F$5:$F$200,"Listing page")+COUNTIFS('QC listings'!$A$5:$A$200,$M99,'QC listings'!$C$5:$C$200,P$4,'QC listings'!$F$5:$F$200,"Brand page")&gt;0,"Y",IF(COUNTIFS('QC listings'!$A$5:$A$200,$M99,'QC listings'!$C$5:$C$200,P$4)&gt;0,"?","–")))</f>
        <v/>
      </c>
      <c r="Q99" s="12" t="str">
        <f aca="false">IF($M99="","",IF(COUNTIFS('QC listings'!$A$5:$A$200,$M99,'QC listings'!$C$5:$C$200,Q$4,'QC listings'!$F$5:$F$200,"Listing page")+COUNTIFS('QC listings'!$A$5:$A$200,$M99,'QC listings'!$C$5:$C$200,Q$4,'QC listings'!$F$5:$F$200,"Brand page")&gt;0,"Y",IF(COUNTIFS('QC listings'!$A$5:$A$200,$M99,'QC listings'!$C$5:$C$200,Q$4)&gt;0,"?","–")))</f>
        <v/>
      </c>
      <c r="R99" s="12" t="str">
        <f aca="false">IF($M99="","",IF(COUNTIFS('QC listings'!$A$5:$A$200,$M99,'QC listings'!$C$5:$C$200,R$4,'QC listings'!$F$5:$F$200,"Listing page")+COUNTIFS('QC listings'!$A$5:$A$200,$M99,'QC listings'!$C$5:$C$200,R$4,'QC listings'!$F$5:$F$200,"Brand page")&gt;0,"Y",IF(COUNTIFS('QC listings'!$A$5:$A$200,$M99,'QC listings'!$C$5:$C$200,R$4)&gt;0,"?","–")))</f>
        <v/>
      </c>
      <c r="S99" s="12" t="str">
        <f aca="false">IF($M99="","",COUNTIF(O99:R99,"Y"))</f>
        <v/>
      </c>
      <c r="T99" s="23" t="str">
        <f aca="false">IF($M99="","",SUMPRODUCT(MAX(('QC listings'!$A$5:$A$200=$M99)*'QC listings'!$E$5:$E$200)))</f>
        <v/>
      </c>
      <c r="U99" s="12" t="str">
        <f aca="false">IF($M99="","",IF(T99&gt;=Scoring!$B$11,3,IF(T99&gt;=Scoring!$B$10,2,IF(T99&gt;=Scoring!$B$9,1,0))))</f>
        <v/>
      </c>
      <c r="V99" s="12" t="n">
        <f aca="false">IFERROR(INDEX(Scoring!$B$27:$B$56,MATCH($E99,Scoring!$A$27:$A$56,0)),0)</f>
        <v>0</v>
      </c>
      <c r="W99" s="24" t="n">
        <f aca="false">IF($G99="","",ROUND((Scoring!$B$5-$G99)/30.4375,1))</f>
        <v>9.4</v>
      </c>
      <c r="X99" s="12" t="n">
        <f aca="false">IF($F99="Expired",Scoring!$B$18,IF($G99="",Scoring!$B$17,IF(W99&lt;=Scoring!$B$12,Scoring!$B$13,IF(W99&lt;=Scoring!$B$14,Scoring!$B$15,Scoring!$B$16))))</f>
        <v>2</v>
      </c>
      <c r="Y99" s="15" t="str">
        <f aca="false">IF($M99="","",ROUND((S99*Scoring!$B$6+U99*Scoring!$B$7)*IFERROR(INDEX(Scoring!$B$22:$B$24,MATCH($N99,Scoring!$A$22:$A$24,0)),1)+V99*Scoring!$B$8+X99,2))</f>
        <v/>
      </c>
      <c r="Z99" s="12" t="str">
        <f aca="false">IF($M99="","",IF(SUMPRODUCT(($M$5:$M$249=$M99)*($G$5:$G$249&gt;$G99))&gt;0,0,IF(SUMPRODUCT(($M$5:$M$249=$M99)*($G$5:$G$249=$G99)*(ROW($M$5:$M$249)&lt;ROW($M99)))&gt;0,0,1)))</f>
        <v/>
      </c>
      <c r="AA99" s="12" t="str">
        <f aca="false">IF($Z99=1,RANK($AE99,$AE$5:$AE$249,0),"")</f>
        <v/>
      </c>
      <c r="AB99" s="7" t="s">
        <v>153</v>
      </c>
      <c r="AC99" s="6" t="s">
        <v>162</v>
      </c>
      <c r="AD99" s="6"/>
      <c r="AE99" s="25" t="str">
        <f aca="false">IF($Z99=1,$Y99+$T99/1000000000-ROW()/10000000,"")</f>
        <v/>
      </c>
    </row>
    <row r="100" customFormat="false" ht="23.85" hidden="false" customHeight="false" outlineLevel="0" collapsed="false">
      <c r="A100" s="7" t="s">
        <v>636</v>
      </c>
      <c r="B100" s="6" t="s">
        <v>471</v>
      </c>
      <c r="C100" s="6" t="s">
        <v>637</v>
      </c>
      <c r="D100" s="7" t="s">
        <v>145</v>
      </c>
      <c r="E100" s="7" t="s">
        <v>638</v>
      </c>
      <c r="F100" s="12" t="s">
        <v>549</v>
      </c>
      <c r="G100" s="13" t="n">
        <v>45627</v>
      </c>
      <c r="H100" s="7" t="s">
        <v>639</v>
      </c>
      <c r="I100" s="6" t="s">
        <v>149</v>
      </c>
      <c r="J100" s="7" t="s">
        <v>60</v>
      </c>
      <c r="K100" s="12"/>
      <c r="L100" s="10" t="s">
        <v>640</v>
      </c>
      <c r="M100" s="7" t="s">
        <v>641</v>
      </c>
      <c r="N100" s="12" t="s">
        <v>277</v>
      </c>
      <c r="O100" s="12" t="str">
        <f aca="false">IF($M100="","",IF(COUNTIFS('QC listings'!$A$5:$A$200,$M100,'QC listings'!$C$5:$C$200,O$4,'QC listings'!$F$5:$F$200,"Listing page")+COUNTIFS('QC listings'!$A$5:$A$200,$M100,'QC listings'!$C$5:$C$200,O$4,'QC listings'!$F$5:$F$200,"Brand page")&gt;0,"Y",IF(COUNTIFS('QC listings'!$A$5:$A$200,$M100,'QC listings'!$C$5:$C$200,O$4)&gt;0,"?","–")))</f>
        <v>Y</v>
      </c>
      <c r="P100" s="12" t="str">
        <f aca="false">IF($M100="","",IF(COUNTIFS('QC listings'!$A$5:$A$200,$M100,'QC listings'!$C$5:$C$200,P$4,'QC listings'!$F$5:$F$200,"Listing page")+COUNTIFS('QC listings'!$A$5:$A$200,$M100,'QC listings'!$C$5:$C$200,P$4,'QC listings'!$F$5:$F$200,"Brand page")&gt;0,"Y",IF(COUNTIFS('QC listings'!$A$5:$A$200,$M100,'QC listings'!$C$5:$C$200,P$4)&gt;0,"?","–")))</f>
        <v>Y</v>
      </c>
      <c r="Q100" s="12" t="str">
        <f aca="false">IF($M100="","",IF(COUNTIFS('QC listings'!$A$5:$A$200,$M100,'QC listings'!$C$5:$C$200,Q$4,'QC listings'!$F$5:$F$200,"Listing page")+COUNTIFS('QC listings'!$A$5:$A$200,$M100,'QC listings'!$C$5:$C$200,Q$4,'QC listings'!$F$5:$F$200,"Brand page")&gt;0,"Y",IF(COUNTIFS('QC listings'!$A$5:$A$200,$M100,'QC listings'!$C$5:$C$200,Q$4)&gt;0,"?","–")))</f>
        <v>–</v>
      </c>
      <c r="R100" s="12" t="str">
        <f aca="false">IF($M100="","",IF(COUNTIFS('QC listings'!$A$5:$A$200,$M100,'QC listings'!$C$5:$C$200,R$4,'QC listings'!$F$5:$F$200,"Listing page")+COUNTIFS('QC listings'!$A$5:$A$200,$M100,'QC listings'!$C$5:$C$200,R$4,'QC listings'!$F$5:$F$200,"Brand page")&gt;0,"Y",IF(COUNTIFS('QC listings'!$A$5:$A$200,$M100,'QC listings'!$C$5:$C$200,R$4)&gt;0,"?","–")))</f>
        <v>–</v>
      </c>
      <c r="S100" s="12" t="n">
        <f aca="false">IF($M100="","",COUNTIF(O100:R100,"Y"))</f>
        <v>2</v>
      </c>
      <c r="T100" s="23" t="n">
        <f aca="false">IF($M100="","",SUMPRODUCT(MAX(('QC listings'!$A$5:$A$200=$M100)*'QC listings'!$E$5:$E$200)))</f>
        <v>716</v>
      </c>
      <c r="U100" s="12" t="n">
        <f aca="false">IF($M100="","",IF(T100&gt;=Scoring!$B$11,3,IF(T100&gt;=Scoring!$B$10,2,IF(T100&gt;=Scoring!$B$9,1,0))))</f>
        <v>0</v>
      </c>
      <c r="V100" s="12" t="n">
        <f aca="false">IFERROR(INDEX(Scoring!$B$27:$B$56,MATCH($E100,Scoring!$A$27:$A$56,0)),0)</f>
        <v>0</v>
      </c>
      <c r="W100" s="24" t="n">
        <f aca="false">IF($G100="","",ROUND((Scoring!$B$5-$G100)/30.4375,1))</f>
        <v>22</v>
      </c>
      <c r="X100" s="12" t="n">
        <f aca="false">IF($F100="Expired",Scoring!$B$18,IF($G100="",Scoring!$B$17,IF(W100&lt;=Scoring!$B$12,Scoring!$B$13,IF(W100&lt;=Scoring!$B$14,Scoring!$B$15,Scoring!$B$16))))</f>
        <v>0</v>
      </c>
      <c r="Y100" s="15" t="n">
        <f aca="false">IF($M100="","",ROUND((S100*Scoring!$B$6+U100*Scoring!$B$7)*IFERROR(INDEX(Scoring!$B$22:$B$24,MATCH($N100,Scoring!$A$22:$A$24,0)),1)+V100*Scoring!$B$8+X100,2))</f>
        <v>1.5</v>
      </c>
      <c r="Z100" s="12" t="n">
        <f aca="false">IF($M100="","",IF(SUMPRODUCT(($M$5:$M$249=$M100)*($G$5:$G$249&gt;$G100))&gt;0,0,IF(SUMPRODUCT(($M$5:$M$249=$M100)*($G$5:$G$249=$G100)*(ROW($M$5:$M$249)&lt;ROW($M100)))&gt;0,0,1)))</f>
        <v>1</v>
      </c>
      <c r="AA100" s="12" t="n">
        <f aca="false">IF($Z100=1,RANK($AE100,$AE$5:$AE$249,0),"")</f>
        <v>36</v>
      </c>
      <c r="AB100" s="7" t="s">
        <v>153</v>
      </c>
      <c r="AC100" s="6" t="s">
        <v>642</v>
      </c>
      <c r="AD100" s="6" t="s">
        <v>643</v>
      </c>
      <c r="AE100" s="25" t="n">
        <f aca="false">IF($Z100=1,$Y100+$T100/1000000000-ROW()/10000000,"")</f>
        <v>1.499990716</v>
      </c>
    </row>
    <row r="101" customFormat="false" ht="35.05" hidden="false" customHeight="false" outlineLevel="0" collapsed="false">
      <c r="A101" s="7" t="s">
        <v>644</v>
      </c>
      <c r="B101" s="6" t="s">
        <v>471</v>
      </c>
      <c r="C101" s="6" t="s">
        <v>645</v>
      </c>
      <c r="D101" s="7" t="s">
        <v>145</v>
      </c>
      <c r="E101" s="7" t="s">
        <v>638</v>
      </c>
      <c r="F101" s="12" t="s">
        <v>549</v>
      </c>
      <c r="G101" s="13"/>
      <c r="H101" s="7"/>
      <c r="I101" s="6" t="s">
        <v>202</v>
      </c>
      <c r="J101" s="7" t="s">
        <v>203</v>
      </c>
      <c r="K101" s="12" t="s">
        <v>646</v>
      </c>
      <c r="L101" s="10" t="s">
        <v>647</v>
      </c>
      <c r="M101" s="7" t="s">
        <v>641</v>
      </c>
      <c r="N101" s="12" t="s">
        <v>152</v>
      </c>
      <c r="O101" s="12" t="str">
        <f aca="false">IF($M101="","",IF(COUNTIFS('QC listings'!$A$5:$A$200,$M101,'QC listings'!$C$5:$C$200,O$4,'QC listings'!$F$5:$F$200,"Listing page")+COUNTIFS('QC listings'!$A$5:$A$200,$M101,'QC listings'!$C$5:$C$200,O$4,'QC listings'!$F$5:$F$200,"Brand page")&gt;0,"Y",IF(COUNTIFS('QC listings'!$A$5:$A$200,$M101,'QC listings'!$C$5:$C$200,O$4)&gt;0,"?","–")))</f>
        <v>Y</v>
      </c>
      <c r="P101" s="12" t="str">
        <f aca="false">IF($M101="","",IF(COUNTIFS('QC listings'!$A$5:$A$200,$M101,'QC listings'!$C$5:$C$200,P$4,'QC listings'!$F$5:$F$200,"Listing page")+COUNTIFS('QC listings'!$A$5:$A$200,$M101,'QC listings'!$C$5:$C$200,P$4,'QC listings'!$F$5:$F$200,"Brand page")&gt;0,"Y",IF(COUNTIFS('QC listings'!$A$5:$A$200,$M101,'QC listings'!$C$5:$C$200,P$4)&gt;0,"?","–")))</f>
        <v>Y</v>
      </c>
      <c r="Q101" s="12" t="str">
        <f aca="false">IF($M101="","",IF(COUNTIFS('QC listings'!$A$5:$A$200,$M101,'QC listings'!$C$5:$C$200,Q$4,'QC listings'!$F$5:$F$200,"Listing page")+COUNTIFS('QC listings'!$A$5:$A$200,$M101,'QC listings'!$C$5:$C$200,Q$4,'QC listings'!$F$5:$F$200,"Brand page")&gt;0,"Y",IF(COUNTIFS('QC listings'!$A$5:$A$200,$M101,'QC listings'!$C$5:$C$200,Q$4)&gt;0,"?","–")))</f>
        <v>–</v>
      </c>
      <c r="R101" s="12" t="str">
        <f aca="false">IF($M101="","",IF(COUNTIFS('QC listings'!$A$5:$A$200,$M101,'QC listings'!$C$5:$C$200,R$4,'QC listings'!$F$5:$F$200,"Listing page")+COUNTIFS('QC listings'!$A$5:$A$200,$M101,'QC listings'!$C$5:$C$200,R$4,'QC listings'!$F$5:$F$200,"Brand page")&gt;0,"Y",IF(COUNTIFS('QC listings'!$A$5:$A$200,$M101,'QC listings'!$C$5:$C$200,R$4)&gt;0,"?","–")))</f>
        <v>–</v>
      </c>
      <c r="S101" s="12" t="n">
        <f aca="false">IF($M101="","",COUNTIF(O101:R101,"Y"))</f>
        <v>2</v>
      </c>
      <c r="T101" s="23" t="n">
        <f aca="false">IF($M101="","",SUMPRODUCT(MAX(('QC listings'!$A$5:$A$200=$M101)*'QC listings'!$E$5:$E$200)))</f>
        <v>716</v>
      </c>
      <c r="U101" s="12" t="n">
        <f aca="false">IF($M101="","",IF(T101&gt;=Scoring!$B$11,3,IF(T101&gt;=Scoring!$B$10,2,IF(T101&gt;=Scoring!$B$9,1,0))))</f>
        <v>0</v>
      </c>
      <c r="V101" s="12" t="n">
        <f aca="false">IFERROR(INDEX(Scoring!$B$27:$B$56,MATCH($E101,Scoring!$A$27:$A$56,0)),0)</f>
        <v>0</v>
      </c>
      <c r="W101" s="24" t="str">
        <f aca="false">IF($G101="","",ROUND((Scoring!$B$5-$G101)/30.4375,1))</f>
        <v/>
      </c>
      <c r="X101" s="12" t="n">
        <f aca="false">IF($F101="Expired",Scoring!$B$18,IF($G101="",Scoring!$B$17,IF(W101&lt;=Scoring!$B$12,Scoring!$B$13,IF(W101&lt;=Scoring!$B$14,Scoring!$B$15,Scoring!$B$16))))</f>
        <v>0</v>
      </c>
      <c r="Y101" s="15" t="n">
        <f aca="false">IF($M101="","",ROUND((S101*Scoring!$B$6+U101*Scoring!$B$7)*IFERROR(INDEX(Scoring!$B$22:$B$24,MATCH($N101,Scoring!$A$22:$A$24,0)),1)+V101*Scoring!$B$8+X101,2))</f>
        <v>2</v>
      </c>
      <c r="Z101" s="12" t="n">
        <f aca="false">IF($M101="","",IF(SUMPRODUCT(($M$5:$M$249=$M101)*($G$5:$G$249&gt;$G101))&gt;0,0,IF(SUMPRODUCT(($M$5:$M$249=$M101)*($G$5:$G$249=$G101)*(ROW($M$5:$M$249)&lt;ROW($M101)))&gt;0,0,1)))</f>
        <v>0</v>
      </c>
      <c r="AA101" s="12" t="str">
        <f aca="false">IF($Z101=1,RANK($AE101,$AE$5:$AE$249,0),"")</f>
        <v/>
      </c>
      <c r="AB101" s="7" t="s">
        <v>205</v>
      </c>
      <c r="AC101" s="6" t="s">
        <v>206</v>
      </c>
      <c r="AD101" s="6" t="s">
        <v>648</v>
      </c>
      <c r="AE101" s="25" t="str">
        <f aca="false">IF($Z101=1,$Y101+$T101/1000000000-ROW()/10000000,"")</f>
        <v/>
      </c>
    </row>
    <row r="102" customFormat="false" ht="23.85" hidden="false" customHeight="false" outlineLevel="0" collapsed="false">
      <c r="A102" s="7" t="s">
        <v>649</v>
      </c>
      <c r="B102" s="6" t="s">
        <v>650</v>
      </c>
      <c r="C102" s="6" t="s">
        <v>651</v>
      </c>
      <c r="D102" s="7" t="s">
        <v>145</v>
      </c>
      <c r="E102" s="7" t="s">
        <v>638</v>
      </c>
      <c r="F102" s="12" t="s">
        <v>222</v>
      </c>
      <c r="G102" s="13"/>
      <c r="H102" s="7"/>
      <c r="I102" s="6" t="s">
        <v>202</v>
      </c>
      <c r="J102" s="7" t="s">
        <v>203</v>
      </c>
      <c r="K102" s="12" t="s">
        <v>652</v>
      </c>
      <c r="L102" s="10" t="s">
        <v>653</v>
      </c>
      <c r="M102" s="7"/>
      <c r="N102" s="12"/>
      <c r="O102" s="12" t="str">
        <f aca="false">IF($M102="","",IF(COUNTIFS('QC listings'!$A$5:$A$200,$M102,'QC listings'!$C$5:$C$200,O$4,'QC listings'!$F$5:$F$200,"Listing page")+COUNTIFS('QC listings'!$A$5:$A$200,$M102,'QC listings'!$C$5:$C$200,O$4,'QC listings'!$F$5:$F$200,"Brand page")&gt;0,"Y",IF(COUNTIFS('QC listings'!$A$5:$A$200,$M102,'QC listings'!$C$5:$C$200,O$4)&gt;0,"?","–")))</f>
        <v/>
      </c>
      <c r="P102" s="12" t="str">
        <f aca="false">IF($M102="","",IF(COUNTIFS('QC listings'!$A$5:$A$200,$M102,'QC listings'!$C$5:$C$200,P$4,'QC listings'!$F$5:$F$200,"Listing page")+COUNTIFS('QC listings'!$A$5:$A$200,$M102,'QC listings'!$C$5:$C$200,P$4,'QC listings'!$F$5:$F$200,"Brand page")&gt;0,"Y",IF(COUNTIFS('QC listings'!$A$5:$A$200,$M102,'QC listings'!$C$5:$C$200,P$4)&gt;0,"?","–")))</f>
        <v/>
      </c>
      <c r="Q102" s="12" t="str">
        <f aca="false">IF($M102="","",IF(COUNTIFS('QC listings'!$A$5:$A$200,$M102,'QC listings'!$C$5:$C$200,Q$4,'QC listings'!$F$5:$F$200,"Listing page")+COUNTIFS('QC listings'!$A$5:$A$200,$M102,'QC listings'!$C$5:$C$200,Q$4,'QC listings'!$F$5:$F$200,"Brand page")&gt;0,"Y",IF(COUNTIFS('QC listings'!$A$5:$A$200,$M102,'QC listings'!$C$5:$C$200,Q$4)&gt;0,"?","–")))</f>
        <v/>
      </c>
      <c r="R102" s="12" t="str">
        <f aca="false">IF($M102="","",IF(COUNTIFS('QC listings'!$A$5:$A$200,$M102,'QC listings'!$C$5:$C$200,R$4,'QC listings'!$F$5:$F$200,"Listing page")+COUNTIFS('QC listings'!$A$5:$A$200,$M102,'QC listings'!$C$5:$C$200,R$4,'QC listings'!$F$5:$F$200,"Brand page")&gt;0,"Y",IF(COUNTIFS('QC listings'!$A$5:$A$200,$M102,'QC listings'!$C$5:$C$200,R$4)&gt;0,"?","–")))</f>
        <v/>
      </c>
      <c r="S102" s="12" t="str">
        <f aca="false">IF($M102="","",COUNTIF(O102:R102,"Y"))</f>
        <v/>
      </c>
      <c r="T102" s="23" t="str">
        <f aca="false">IF($M102="","",SUMPRODUCT(MAX(('QC listings'!$A$5:$A$200=$M102)*'QC listings'!$E$5:$E$200)))</f>
        <v/>
      </c>
      <c r="U102" s="12" t="str">
        <f aca="false">IF($M102="","",IF(T102&gt;=Scoring!$B$11,3,IF(T102&gt;=Scoring!$B$10,2,IF(T102&gt;=Scoring!$B$9,1,0))))</f>
        <v/>
      </c>
      <c r="V102" s="12" t="n">
        <f aca="false">IFERROR(INDEX(Scoring!$B$27:$B$56,MATCH($E102,Scoring!$A$27:$A$56,0)),0)</f>
        <v>0</v>
      </c>
      <c r="W102" s="24" t="str">
        <f aca="false">IF($G102="","",ROUND((Scoring!$B$5-$G102)/30.4375,1))</f>
        <v/>
      </c>
      <c r="X102" s="12" t="n">
        <f aca="false">IF($F102="Expired",Scoring!$B$18,IF($G102="",Scoring!$B$17,IF(W102&lt;=Scoring!$B$12,Scoring!$B$13,IF(W102&lt;=Scoring!$B$14,Scoring!$B$15,Scoring!$B$16))))</f>
        <v>1</v>
      </c>
      <c r="Y102" s="15" t="str">
        <f aca="false">IF($M102="","",ROUND((S102*Scoring!$B$6+U102*Scoring!$B$7)*IFERROR(INDEX(Scoring!$B$22:$B$24,MATCH($N102,Scoring!$A$22:$A$24,0)),1)+V102*Scoring!$B$8+X102,2))</f>
        <v/>
      </c>
      <c r="Z102" s="12" t="str">
        <f aca="false">IF($M102="","",IF(SUMPRODUCT(($M$5:$M$249=$M102)*($G$5:$G$249&gt;$G102))&gt;0,0,IF(SUMPRODUCT(($M$5:$M$249=$M102)*($G$5:$G$249=$G102)*(ROW($M$5:$M$249)&lt;ROW($M102)))&gt;0,0,1)))</f>
        <v/>
      </c>
      <c r="AA102" s="12" t="str">
        <f aca="false">IF($Z102=1,RANK($AE102,$AE$5:$AE$249,0),"")</f>
        <v/>
      </c>
      <c r="AB102" s="7" t="s">
        <v>205</v>
      </c>
      <c r="AC102" s="6" t="s">
        <v>206</v>
      </c>
      <c r="AD102" s="6"/>
      <c r="AE102" s="25" t="str">
        <f aca="false">IF($Z102=1,$Y102+$T102/1000000000-ROW()/10000000,"")</f>
        <v/>
      </c>
    </row>
    <row r="103" customFormat="false" ht="23.85" hidden="false" customHeight="false" outlineLevel="0" collapsed="false">
      <c r="A103" s="7" t="s">
        <v>654</v>
      </c>
      <c r="B103" s="6" t="s">
        <v>655</v>
      </c>
      <c r="C103" s="6" t="s">
        <v>656</v>
      </c>
      <c r="D103" s="7" t="s">
        <v>145</v>
      </c>
      <c r="E103" s="7" t="s">
        <v>638</v>
      </c>
      <c r="F103" s="12" t="s">
        <v>147</v>
      </c>
      <c r="G103" s="13" t="n">
        <v>45620</v>
      </c>
      <c r="H103" s="7" t="s">
        <v>657</v>
      </c>
      <c r="I103" s="6" t="s">
        <v>149</v>
      </c>
      <c r="J103" s="7" t="s">
        <v>60</v>
      </c>
      <c r="K103" s="12"/>
      <c r="L103" s="10" t="s">
        <v>658</v>
      </c>
      <c r="M103" s="7"/>
      <c r="N103" s="12"/>
      <c r="O103" s="12" t="str">
        <f aca="false">IF($M103="","",IF(COUNTIFS('QC listings'!$A$5:$A$200,$M103,'QC listings'!$C$5:$C$200,O$4,'QC listings'!$F$5:$F$200,"Listing page")+COUNTIFS('QC listings'!$A$5:$A$200,$M103,'QC listings'!$C$5:$C$200,O$4,'QC listings'!$F$5:$F$200,"Brand page")&gt;0,"Y",IF(COUNTIFS('QC listings'!$A$5:$A$200,$M103,'QC listings'!$C$5:$C$200,O$4)&gt;0,"?","–")))</f>
        <v/>
      </c>
      <c r="P103" s="12" t="str">
        <f aca="false">IF($M103="","",IF(COUNTIFS('QC listings'!$A$5:$A$200,$M103,'QC listings'!$C$5:$C$200,P$4,'QC listings'!$F$5:$F$200,"Listing page")+COUNTIFS('QC listings'!$A$5:$A$200,$M103,'QC listings'!$C$5:$C$200,P$4,'QC listings'!$F$5:$F$200,"Brand page")&gt;0,"Y",IF(COUNTIFS('QC listings'!$A$5:$A$200,$M103,'QC listings'!$C$5:$C$200,P$4)&gt;0,"?","–")))</f>
        <v/>
      </c>
      <c r="Q103" s="12" t="str">
        <f aca="false">IF($M103="","",IF(COUNTIFS('QC listings'!$A$5:$A$200,$M103,'QC listings'!$C$5:$C$200,Q$4,'QC listings'!$F$5:$F$200,"Listing page")+COUNTIFS('QC listings'!$A$5:$A$200,$M103,'QC listings'!$C$5:$C$200,Q$4,'QC listings'!$F$5:$F$200,"Brand page")&gt;0,"Y",IF(COUNTIFS('QC listings'!$A$5:$A$200,$M103,'QC listings'!$C$5:$C$200,Q$4)&gt;0,"?","–")))</f>
        <v/>
      </c>
      <c r="R103" s="12" t="str">
        <f aca="false">IF($M103="","",IF(COUNTIFS('QC listings'!$A$5:$A$200,$M103,'QC listings'!$C$5:$C$200,R$4,'QC listings'!$F$5:$F$200,"Listing page")+COUNTIFS('QC listings'!$A$5:$A$200,$M103,'QC listings'!$C$5:$C$200,R$4,'QC listings'!$F$5:$F$200,"Brand page")&gt;0,"Y",IF(COUNTIFS('QC listings'!$A$5:$A$200,$M103,'QC listings'!$C$5:$C$200,R$4)&gt;0,"?","–")))</f>
        <v/>
      </c>
      <c r="S103" s="12" t="str">
        <f aca="false">IF($M103="","",COUNTIF(O103:R103,"Y"))</f>
        <v/>
      </c>
      <c r="T103" s="23" t="str">
        <f aca="false">IF($M103="","",SUMPRODUCT(MAX(('QC listings'!$A$5:$A$200=$M103)*'QC listings'!$E$5:$E$200)))</f>
        <v/>
      </c>
      <c r="U103" s="12" t="str">
        <f aca="false">IF($M103="","",IF(T103&gt;=Scoring!$B$11,3,IF(T103&gt;=Scoring!$B$10,2,IF(T103&gt;=Scoring!$B$9,1,0))))</f>
        <v/>
      </c>
      <c r="V103" s="12" t="n">
        <f aca="false">IFERROR(INDEX(Scoring!$B$27:$B$56,MATCH($E103,Scoring!$A$27:$A$56,0)),0)</f>
        <v>0</v>
      </c>
      <c r="W103" s="24" t="n">
        <f aca="false">IF($G103="","",ROUND((Scoring!$B$5-$G103)/30.4375,1))</f>
        <v>22.2</v>
      </c>
      <c r="X103" s="12" t="n">
        <f aca="false">IF($F103="Expired",Scoring!$B$18,IF($G103="",Scoring!$B$17,IF(W103&lt;=Scoring!$B$12,Scoring!$B$13,IF(W103&lt;=Scoring!$B$14,Scoring!$B$15,Scoring!$B$16))))</f>
        <v>1</v>
      </c>
      <c r="Y103" s="15" t="str">
        <f aca="false">IF($M103="","",ROUND((S103*Scoring!$B$6+U103*Scoring!$B$7)*IFERROR(INDEX(Scoring!$B$22:$B$24,MATCH($N103,Scoring!$A$22:$A$24,0)),1)+V103*Scoring!$B$8+X103,2))</f>
        <v/>
      </c>
      <c r="Z103" s="12" t="str">
        <f aca="false">IF($M103="","",IF(SUMPRODUCT(($M$5:$M$249=$M103)*($G$5:$G$249&gt;$G103))&gt;0,0,IF(SUMPRODUCT(($M$5:$M$249=$M103)*($G$5:$G$249=$G103)*(ROW($M$5:$M$249)&lt;ROW($M103)))&gt;0,0,1)))</f>
        <v/>
      </c>
      <c r="AA103" s="12" t="str">
        <f aca="false">IF($Z103=1,RANK($AE103,$AE$5:$AE$249,0),"")</f>
        <v/>
      </c>
      <c r="AB103" s="7" t="s">
        <v>153</v>
      </c>
      <c r="AC103" s="6" t="s">
        <v>154</v>
      </c>
      <c r="AD103" s="6" t="s">
        <v>659</v>
      </c>
      <c r="AE103" s="25" t="str">
        <f aca="false">IF($Z103=1,$Y103+$T103/1000000000-ROW()/10000000,"")</f>
        <v/>
      </c>
    </row>
    <row r="104" customFormat="false" ht="23.85" hidden="false" customHeight="false" outlineLevel="0" collapsed="false">
      <c r="A104" s="7" t="s">
        <v>660</v>
      </c>
      <c r="B104" s="6" t="s">
        <v>655</v>
      </c>
      <c r="C104" s="6" t="s">
        <v>661</v>
      </c>
      <c r="D104" s="7" t="s">
        <v>145</v>
      </c>
      <c r="E104" s="7" t="s">
        <v>638</v>
      </c>
      <c r="F104" s="12" t="s">
        <v>222</v>
      </c>
      <c r="G104" s="13"/>
      <c r="H104" s="7"/>
      <c r="I104" s="6" t="s">
        <v>202</v>
      </c>
      <c r="J104" s="7" t="s">
        <v>203</v>
      </c>
      <c r="K104" s="12" t="s">
        <v>662</v>
      </c>
      <c r="L104" s="10" t="s">
        <v>663</v>
      </c>
      <c r="M104" s="7"/>
      <c r="N104" s="12"/>
      <c r="O104" s="12" t="str">
        <f aca="false">IF($M104="","",IF(COUNTIFS('QC listings'!$A$5:$A$200,$M104,'QC listings'!$C$5:$C$200,O$4,'QC listings'!$F$5:$F$200,"Listing page")+COUNTIFS('QC listings'!$A$5:$A$200,$M104,'QC listings'!$C$5:$C$200,O$4,'QC listings'!$F$5:$F$200,"Brand page")&gt;0,"Y",IF(COUNTIFS('QC listings'!$A$5:$A$200,$M104,'QC listings'!$C$5:$C$200,O$4)&gt;0,"?","–")))</f>
        <v/>
      </c>
      <c r="P104" s="12" t="str">
        <f aca="false">IF($M104="","",IF(COUNTIFS('QC listings'!$A$5:$A$200,$M104,'QC listings'!$C$5:$C$200,P$4,'QC listings'!$F$5:$F$200,"Listing page")+COUNTIFS('QC listings'!$A$5:$A$200,$M104,'QC listings'!$C$5:$C$200,P$4,'QC listings'!$F$5:$F$200,"Brand page")&gt;0,"Y",IF(COUNTIFS('QC listings'!$A$5:$A$200,$M104,'QC listings'!$C$5:$C$200,P$4)&gt;0,"?","–")))</f>
        <v/>
      </c>
      <c r="Q104" s="12" t="str">
        <f aca="false">IF($M104="","",IF(COUNTIFS('QC listings'!$A$5:$A$200,$M104,'QC listings'!$C$5:$C$200,Q$4,'QC listings'!$F$5:$F$200,"Listing page")+COUNTIFS('QC listings'!$A$5:$A$200,$M104,'QC listings'!$C$5:$C$200,Q$4,'QC listings'!$F$5:$F$200,"Brand page")&gt;0,"Y",IF(COUNTIFS('QC listings'!$A$5:$A$200,$M104,'QC listings'!$C$5:$C$200,Q$4)&gt;0,"?","–")))</f>
        <v/>
      </c>
      <c r="R104" s="12" t="str">
        <f aca="false">IF($M104="","",IF(COUNTIFS('QC listings'!$A$5:$A$200,$M104,'QC listings'!$C$5:$C$200,R$4,'QC listings'!$F$5:$F$200,"Listing page")+COUNTIFS('QC listings'!$A$5:$A$200,$M104,'QC listings'!$C$5:$C$200,R$4,'QC listings'!$F$5:$F$200,"Brand page")&gt;0,"Y",IF(COUNTIFS('QC listings'!$A$5:$A$200,$M104,'QC listings'!$C$5:$C$200,R$4)&gt;0,"?","–")))</f>
        <v/>
      </c>
      <c r="S104" s="12" t="str">
        <f aca="false">IF($M104="","",COUNTIF(O104:R104,"Y"))</f>
        <v/>
      </c>
      <c r="T104" s="23" t="str">
        <f aca="false">IF($M104="","",SUMPRODUCT(MAX(('QC listings'!$A$5:$A$200=$M104)*'QC listings'!$E$5:$E$200)))</f>
        <v/>
      </c>
      <c r="U104" s="12" t="str">
        <f aca="false">IF($M104="","",IF(T104&gt;=Scoring!$B$11,3,IF(T104&gt;=Scoring!$B$10,2,IF(T104&gt;=Scoring!$B$9,1,0))))</f>
        <v/>
      </c>
      <c r="V104" s="12" t="n">
        <f aca="false">IFERROR(INDEX(Scoring!$B$27:$B$56,MATCH($E104,Scoring!$A$27:$A$56,0)),0)</f>
        <v>0</v>
      </c>
      <c r="W104" s="24" t="str">
        <f aca="false">IF($G104="","",ROUND((Scoring!$B$5-$G104)/30.4375,1))</f>
        <v/>
      </c>
      <c r="X104" s="12" t="n">
        <f aca="false">IF($F104="Expired",Scoring!$B$18,IF($G104="",Scoring!$B$17,IF(W104&lt;=Scoring!$B$12,Scoring!$B$13,IF(W104&lt;=Scoring!$B$14,Scoring!$B$15,Scoring!$B$16))))</f>
        <v>1</v>
      </c>
      <c r="Y104" s="15" t="str">
        <f aca="false">IF($M104="","",ROUND((S104*Scoring!$B$6+U104*Scoring!$B$7)*IFERROR(INDEX(Scoring!$B$22:$B$24,MATCH($N104,Scoring!$A$22:$A$24,0)),1)+V104*Scoring!$B$8+X104,2))</f>
        <v/>
      </c>
      <c r="Z104" s="12" t="str">
        <f aca="false">IF($M104="","",IF(SUMPRODUCT(($M$5:$M$249=$M104)*($G$5:$G$249&gt;$G104))&gt;0,0,IF(SUMPRODUCT(($M$5:$M$249=$M104)*($G$5:$G$249=$G104)*(ROW($M$5:$M$249)&lt;ROW($M104)))&gt;0,0,1)))</f>
        <v/>
      </c>
      <c r="AA104" s="12" t="str">
        <f aca="false">IF($Z104=1,RANK($AE104,$AE$5:$AE$249,0),"")</f>
        <v/>
      </c>
      <c r="AB104" s="7" t="s">
        <v>205</v>
      </c>
      <c r="AC104" s="6" t="s">
        <v>206</v>
      </c>
      <c r="AD104" s="6" t="s">
        <v>664</v>
      </c>
      <c r="AE104" s="25" t="str">
        <f aca="false">IF($Z104=1,$Y104+$T104/1000000000-ROW()/10000000,"")</f>
        <v/>
      </c>
    </row>
    <row r="105" customFormat="false" ht="23.85" hidden="false" customHeight="false" outlineLevel="0" collapsed="false">
      <c r="A105" s="7" t="s">
        <v>665</v>
      </c>
      <c r="B105" s="6" t="s">
        <v>666</v>
      </c>
      <c r="C105" s="6" t="s">
        <v>656</v>
      </c>
      <c r="D105" s="7" t="s">
        <v>145</v>
      </c>
      <c r="E105" s="7" t="s">
        <v>638</v>
      </c>
      <c r="F105" s="12" t="s">
        <v>147</v>
      </c>
      <c r="G105" s="13" t="n">
        <v>45583</v>
      </c>
      <c r="H105" s="7" t="s">
        <v>667</v>
      </c>
      <c r="I105" s="6" t="s">
        <v>149</v>
      </c>
      <c r="J105" s="7" t="s">
        <v>60</v>
      </c>
      <c r="K105" s="12"/>
      <c r="L105" s="10" t="s">
        <v>668</v>
      </c>
      <c r="M105" s="7"/>
      <c r="N105" s="12"/>
      <c r="O105" s="12" t="str">
        <f aca="false">IF($M105="","",IF(COUNTIFS('QC listings'!$A$5:$A$200,$M105,'QC listings'!$C$5:$C$200,O$4,'QC listings'!$F$5:$F$200,"Listing page")+COUNTIFS('QC listings'!$A$5:$A$200,$M105,'QC listings'!$C$5:$C$200,O$4,'QC listings'!$F$5:$F$200,"Brand page")&gt;0,"Y",IF(COUNTIFS('QC listings'!$A$5:$A$200,$M105,'QC listings'!$C$5:$C$200,O$4)&gt;0,"?","–")))</f>
        <v/>
      </c>
      <c r="P105" s="12" t="str">
        <f aca="false">IF($M105="","",IF(COUNTIFS('QC listings'!$A$5:$A$200,$M105,'QC listings'!$C$5:$C$200,P$4,'QC listings'!$F$5:$F$200,"Listing page")+COUNTIFS('QC listings'!$A$5:$A$200,$M105,'QC listings'!$C$5:$C$200,P$4,'QC listings'!$F$5:$F$200,"Brand page")&gt;0,"Y",IF(COUNTIFS('QC listings'!$A$5:$A$200,$M105,'QC listings'!$C$5:$C$200,P$4)&gt;0,"?","–")))</f>
        <v/>
      </c>
      <c r="Q105" s="12" t="str">
        <f aca="false">IF($M105="","",IF(COUNTIFS('QC listings'!$A$5:$A$200,$M105,'QC listings'!$C$5:$C$200,Q$4,'QC listings'!$F$5:$F$200,"Listing page")+COUNTIFS('QC listings'!$A$5:$A$200,$M105,'QC listings'!$C$5:$C$200,Q$4,'QC listings'!$F$5:$F$200,"Brand page")&gt;0,"Y",IF(COUNTIFS('QC listings'!$A$5:$A$200,$M105,'QC listings'!$C$5:$C$200,Q$4)&gt;0,"?","–")))</f>
        <v/>
      </c>
      <c r="R105" s="12" t="str">
        <f aca="false">IF($M105="","",IF(COUNTIFS('QC listings'!$A$5:$A$200,$M105,'QC listings'!$C$5:$C$200,R$4,'QC listings'!$F$5:$F$200,"Listing page")+COUNTIFS('QC listings'!$A$5:$A$200,$M105,'QC listings'!$C$5:$C$200,R$4,'QC listings'!$F$5:$F$200,"Brand page")&gt;0,"Y",IF(COUNTIFS('QC listings'!$A$5:$A$200,$M105,'QC listings'!$C$5:$C$200,R$4)&gt;0,"?","–")))</f>
        <v/>
      </c>
      <c r="S105" s="12" t="str">
        <f aca="false">IF($M105="","",COUNTIF(O105:R105,"Y"))</f>
        <v/>
      </c>
      <c r="T105" s="23" t="str">
        <f aca="false">IF($M105="","",SUMPRODUCT(MAX(('QC listings'!$A$5:$A$200=$M105)*'QC listings'!$E$5:$E$200)))</f>
        <v/>
      </c>
      <c r="U105" s="12" t="str">
        <f aca="false">IF($M105="","",IF(T105&gt;=Scoring!$B$11,3,IF(T105&gt;=Scoring!$B$10,2,IF(T105&gt;=Scoring!$B$9,1,0))))</f>
        <v/>
      </c>
      <c r="V105" s="12" t="n">
        <f aca="false">IFERROR(INDEX(Scoring!$B$27:$B$56,MATCH($E105,Scoring!$A$27:$A$56,0)),0)</f>
        <v>0</v>
      </c>
      <c r="W105" s="24" t="n">
        <f aca="false">IF($G105="","",ROUND((Scoring!$B$5-$G105)/30.4375,1))</f>
        <v>23.5</v>
      </c>
      <c r="X105" s="12" t="n">
        <f aca="false">IF($F105="Expired",Scoring!$B$18,IF($G105="",Scoring!$B$17,IF(W105&lt;=Scoring!$B$12,Scoring!$B$13,IF(W105&lt;=Scoring!$B$14,Scoring!$B$15,Scoring!$B$16))))</f>
        <v>1</v>
      </c>
      <c r="Y105" s="15" t="str">
        <f aca="false">IF($M105="","",ROUND((S105*Scoring!$B$6+U105*Scoring!$B$7)*IFERROR(INDEX(Scoring!$B$22:$B$24,MATCH($N105,Scoring!$A$22:$A$24,0)),1)+V105*Scoring!$B$8+X105,2))</f>
        <v/>
      </c>
      <c r="Z105" s="12" t="str">
        <f aca="false">IF($M105="","",IF(SUMPRODUCT(($M$5:$M$249=$M105)*($G$5:$G$249&gt;$G105))&gt;0,0,IF(SUMPRODUCT(($M$5:$M$249=$M105)*($G$5:$G$249=$G105)*(ROW($M$5:$M$249)&lt;ROW($M105)))&gt;0,0,1)))</f>
        <v/>
      </c>
      <c r="AA105" s="12" t="str">
        <f aca="false">IF($Z105=1,RANK($AE105,$AE$5:$AE$249,0),"")</f>
        <v/>
      </c>
      <c r="AB105" s="7" t="s">
        <v>153</v>
      </c>
      <c r="AC105" s="6" t="s">
        <v>154</v>
      </c>
      <c r="AD105" s="6" t="s">
        <v>659</v>
      </c>
      <c r="AE105" s="25" t="str">
        <f aca="false">IF($Z105=1,$Y105+$T105/1000000000-ROW()/10000000,"")</f>
        <v/>
      </c>
    </row>
    <row r="106" customFormat="false" ht="23.85" hidden="false" customHeight="false" outlineLevel="0" collapsed="false">
      <c r="A106" s="7" t="s">
        <v>669</v>
      </c>
      <c r="B106" s="6" t="s">
        <v>670</v>
      </c>
      <c r="C106" s="6" t="s">
        <v>661</v>
      </c>
      <c r="D106" s="7" t="s">
        <v>145</v>
      </c>
      <c r="E106" s="7" t="s">
        <v>638</v>
      </c>
      <c r="F106" s="12" t="s">
        <v>222</v>
      </c>
      <c r="G106" s="13"/>
      <c r="H106" s="7"/>
      <c r="I106" s="6" t="s">
        <v>202</v>
      </c>
      <c r="J106" s="7" t="s">
        <v>203</v>
      </c>
      <c r="K106" s="12" t="s">
        <v>671</v>
      </c>
      <c r="L106" s="10" t="s">
        <v>672</v>
      </c>
      <c r="M106" s="7"/>
      <c r="N106" s="12"/>
      <c r="O106" s="12" t="str">
        <f aca="false">IF($M106="","",IF(COUNTIFS('QC listings'!$A$5:$A$200,$M106,'QC listings'!$C$5:$C$200,O$4,'QC listings'!$F$5:$F$200,"Listing page")+COUNTIFS('QC listings'!$A$5:$A$200,$M106,'QC listings'!$C$5:$C$200,O$4,'QC listings'!$F$5:$F$200,"Brand page")&gt;0,"Y",IF(COUNTIFS('QC listings'!$A$5:$A$200,$M106,'QC listings'!$C$5:$C$200,O$4)&gt;0,"?","–")))</f>
        <v/>
      </c>
      <c r="P106" s="12" t="str">
        <f aca="false">IF($M106="","",IF(COUNTIFS('QC listings'!$A$5:$A$200,$M106,'QC listings'!$C$5:$C$200,P$4,'QC listings'!$F$5:$F$200,"Listing page")+COUNTIFS('QC listings'!$A$5:$A$200,$M106,'QC listings'!$C$5:$C$200,P$4,'QC listings'!$F$5:$F$200,"Brand page")&gt;0,"Y",IF(COUNTIFS('QC listings'!$A$5:$A$200,$M106,'QC listings'!$C$5:$C$200,P$4)&gt;0,"?","–")))</f>
        <v/>
      </c>
      <c r="Q106" s="12" t="str">
        <f aca="false">IF($M106="","",IF(COUNTIFS('QC listings'!$A$5:$A$200,$M106,'QC listings'!$C$5:$C$200,Q$4,'QC listings'!$F$5:$F$200,"Listing page")+COUNTIFS('QC listings'!$A$5:$A$200,$M106,'QC listings'!$C$5:$C$200,Q$4,'QC listings'!$F$5:$F$200,"Brand page")&gt;0,"Y",IF(COUNTIFS('QC listings'!$A$5:$A$200,$M106,'QC listings'!$C$5:$C$200,Q$4)&gt;0,"?","–")))</f>
        <v/>
      </c>
      <c r="R106" s="12" t="str">
        <f aca="false">IF($M106="","",IF(COUNTIFS('QC listings'!$A$5:$A$200,$M106,'QC listings'!$C$5:$C$200,R$4,'QC listings'!$F$5:$F$200,"Listing page")+COUNTIFS('QC listings'!$A$5:$A$200,$M106,'QC listings'!$C$5:$C$200,R$4,'QC listings'!$F$5:$F$200,"Brand page")&gt;0,"Y",IF(COUNTIFS('QC listings'!$A$5:$A$200,$M106,'QC listings'!$C$5:$C$200,R$4)&gt;0,"?","–")))</f>
        <v/>
      </c>
      <c r="S106" s="12" t="str">
        <f aca="false">IF($M106="","",COUNTIF(O106:R106,"Y"))</f>
        <v/>
      </c>
      <c r="T106" s="23" t="str">
        <f aca="false">IF($M106="","",SUMPRODUCT(MAX(('QC listings'!$A$5:$A$200=$M106)*'QC listings'!$E$5:$E$200)))</f>
        <v/>
      </c>
      <c r="U106" s="12" t="str">
        <f aca="false">IF($M106="","",IF(T106&gt;=Scoring!$B$11,3,IF(T106&gt;=Scoring!$B$10,2,IF(T106&gt;=Scoring!$B$9,1,0))))</f>
        <v/>
      </c>
      <c r="V106" s="12" t="n">
        <f aca="false">IFERROR(INDEX(Scoring!$B$27:$B$56,MATCH($E106,Scoring!$A$27:$A$56,0)),0)</f>
        <v>0</v>
      </c>
      <c r="W106" s="24" t="str">
        <f aca="false">IF($G106="","",ROUND((Scoring!$B$5-$G106)/30.4375,1))</f>
        <v/>
      </c>
      <c r="X106" s="12" t="n">
        <f aca="false">IF($F106="Expired",Scoring!$B$18,IF($G106="",Scoring!$B$17,IF(W106&lt;=Scoring!$B$12,Scoring!$B$13,IF(W106&lt;=Scoring!$B$14,Scoring!$B$15,Scoring!$B$16))))</f>
        <v>1</v>
      </c>
      <c r="Y106" s="15" t="str">
        <f aca="false">IF($M106="","",ROUND((S106*Scoring!$B$6+U106*Scoring!$B$7)*IFERROR(INDEX(Scoring!$B$22:$B$24,MATCH($N106,Scoring!$A$22:$A$24,0)),1)+V106*Scoring!$B$8+X106,2))</f>
        <v/>
      </c>
      <c r="Z106" s="12" t="str">
        <f aca="false">IF($M106="","",IF(SUMPRODUCT(($M$5:$M$249=$M106)*($G$5:$G$249&gt;$G106))&gt;0,0,IF(SUMPRODUCT(($M$5:$M$249=$M106)*($G$5:$G$249=$G106)*(ROW($M$5:$M$249)&lt;ROW($M106)))&gt;0,0,1)))</f>
        <v/>
      </c>
      <c r="AA106" s="12" t="str">
        <f aca="false">IF($Z106=1,RANK($AE106,$AE$5:$AE$249,0),"")</f>
        <v/>
      </c>
      <c r="AB106" s="7" t="s">
        <v>205</v>
      </c>
      <c r="AC106" s="6" t="s">
        <v>206</v>
      </c>
      <c r="AD106" s="6"/>
      <c r="AE106" s="25" t="str">
        <f aca="false">IF($Z106=1,$Y106+$T106/1000000000-ROW()/10000000,"")</f>
        <v/>
      </c>
    </row>
    <row r="107" customFormat="false" ht="23.85" hidden="false" customHeight="false" outlineLevel="0" collapsed="false">
      <c r="A107" s="7" t="s">
        <v>673</v>
      </c>
      <c r="B107" s="6" t="s">
        <v>674</v>
      </c>
      <c r="C107" s="6" t="s">
        <v>675</v>
      </c>
      <c r="D107" s="7" t="s">
        <v>145</v>
      </c>
      <c r="E107" s="7" t="s">
        <v>638</v>
      </c>
      <c r="F107" s="12" t="s">
        <v>549</v>
      </c>
      <c r="G107" s="13"/>
      <c r="H107" s="7"/>
      <c r="I107" s="6" t="s">
        <v>202</v>
      </c>
      <c r="J107" s="7" t="s">
        <v>203</v>
      </c>
      <c r="K107" s="12" t="s">
        <v>676</v>
      </c>
      <c r="L107" s="10" t="s">
        <v>677</v>
      </c>
      <c r="M107" s="7"/>
      <c r="N107" s="12"/>
      <c r="O107" s="12" t="str">
        <f aca="false">IF($M107="","",IF(COUNTIFS('QC listings'!$A$5:$A$200,$M107,'QC listings'!$C$5:$C$200,O$4,'QC listings'!$F$5:$F$200,"Listing page")+COUNTIFS('QC listings'!$A$5:$A$200,$M107,'QC listings'!$C$5:$C$200,O$4,'QC listings'!$F$5:$F$200,"Brand page")&gt;0,"Y",IF(COUNTIFS('QC listings'!$A$5:$A$200,$M107,'QC listings'!$C$5:$C$200,O$4)&gt;0,"?","–")))</f>
        <v/>
      </c>
      <c r="P107" s="12" t="str">
        <f aca="false">IF($M107="","",IF(COUNTIFS('QC listings'!$A$5:$A$200,$M107,'QC listings'!$C$5:$C$200,P$4,'QC listings'!$F$5:$F$200,"Listing page")+COUNTIFS('QC listings'!$A$5:$A$200,$M107,'QC listings'!$C$5:$C$200,P$4,'QC listings'!$F$5:$F$200,"Brand page")&gt;0,"Y",IF(COUNTIFS('QC listings'!$A$5:$A$200,$M107,'QC listings'!$C$5:$C$200,P$4)&gt;0,"?","–")))</f>
        <v/>
      </c>
      <c r="Q107" s="12" t="str">
        <f aca="false">IF($M107="","",IF(COUNTIFS('QC listings'!$A$5:$A$200,$M107,'QC listings'!$C$5:$C$200,Q$4,'QC listings'!$F$5:$F$200,"Listing page")+COUNTIFS('QC listings'!$A$5:$A$200,$M107,'QC listings'!$C$5:$C$200,Q$4,'QC listings'!$F$5:$F$200,"Brand page")&gt;0,"Y",IF(COUNTIFS('QC listings'!$A$5:$A$200,$M107,'QC listings'!$C$5:$C$200,Q$4)&gt;0,"?","–")))</f>
        <v/>
      </c>
      <c r="R107" s="12" t="str">
        <f aca="false">IF($M107="","",IF(COUNTIFS('QC listings'!$A$5:$A$200,$M107,'QC listings'!$C$5:$C$200,R$4,'QC listings'!$F$5:$F$200,"Listing page")+COUNTIFS('QC listings'!$A$5:$A$200,$M107,'QC listings'!$C$5:$C$200,R$4,'QC listings'!$F$5:$F$200,"Brand page")&gt;0,"Y",IF(COUNTIFS('QC listings'!$A$5:$A$200,$M107,'QC listings'!$C$5:$C$200,R$4)&gt;0,"?","–")))</f>
        <v/>
      </c>
      <c r="S107" s="12" t="str">
        <f aca="false">IF($M107="","",COUNTIF(O107:R107,"Y"))</f>
        <v/>
      </c>
      <c r="T107" s="23" t="str">
        <f aca="false">IF($M107="","",SUMPRODUCT(MAX(('QC listings'!$A$5:$A$200=$M107)*'QC listings'!$E$5:$E$200)))</f>
        <v/>
      </c>
      <c r="U107" s="12" t="str">
        <f aca="false">IF($M107="","",IF(T107&gt;=Scoring!$B$11,3,IF(T107&gt;=Scoring!$B$10,2,IF(T107&gt;=Scoring!$B$9,1,0))))</f>
        <v/>
      </c>
      <c r="V107" s="12" t="n">
        <f aca="false">IFERROR(INDEX(Scoring!$B$27:$B$56,MATCH($E107,Scoring!$A$27:$A$56,0)),0)</f>
        <v>0</v>
      </c>
      <c r="W107" s="24" t="str">
        <f aca="false">IF($G107="","",ROUND((Scoring!$B$5-$G107)/30.4375,1))</f>
        <v/>
      </c>
      <c r="X107" s="12" t="n">
        <f aca="false">IF($F107="Expired",Scoring!$B$18,IF($G107="",Scoring!$B$17,IF(W107&lt;=Scoring!$B$12,Scoring!$B$13,IF(W107&lt;=Scoring!$B$14,Scoring!$B$15,Scoring!$B$16))))</f>
        <v>0</v>
      </c>
      <c r="Y107" s="15" t="str">
        <f aca="false">IF($M107="","",ROUND((S107*Scoring!$B$6+U107*Scoring!$B$7)*IFERROR(INDEX(Scoring!$B$22:$B$24,MATCH($N107,Scoring!$A$22:$A$24,0)),1)+V107*Scoring!$B$8+X107,2))</f>
        <v/>
      </c>
      <c r="Z107" s="12" t="str">
        <f aca="false">IF($M107="","",IF(SUMPRODUCT(($M$5:$M$249=$M107)*($G$5:$G$249&gt;$G107))&gt;0,0,IF(SUMPRODUCT(($M$5:$M$249=$M107)*($G$5:$G$249=$G107)*(ROW($M$5:$M$249)&lt;ROW($M107)))&gt;0,0,1)))</f>
        <v/>
      </c>
      <c r="AA107" s="12" t="str">
        <f aca="false">IF($Z107=1,RANK($AE107,$AE$5:$AE$249,0),"")</f>
        <v/>
      </c>
      <c r="AB107" s="7" t="s">
        <v>205</v>
      </c>
      <c r="AC107" s="6" t="s">
        <v>206</v>
      </c>
      <c r="AD107" s="6" t="s">
        <v>552</v>
      </c>
      <c r="AE107" s="25" t="str">
        <f aca="false">IF($Z107=1,$Y107+$T107/1000000000-ROW()/10000000,"")</f>
        <v/>
      </c>
    </row>
    <row r="108" customFormat="false" ht="23.85" hidden="false" customHeight="false" outlineLevel="0" collapsed="false">
      <c r="A108" s="7" t="s">
        <v>678</v>
      </c>
      <c r="B108" s="6" t="s">
        <v>679</v>
      </c>
      <c r="C108" s="6" t="s">
        <v>680</v>
      </c>
      <c r="D108" s="7" t="s">
        <v>145</v>
      </c>
      <c r="E108" s="7" t="s">
        <v>638</v>
      </c>
      <c r="F108" s="12" t="s">
        <v>549</v>
      </c>
      <c r="G108" s="13"/>
      <c r="H108" s="7"/>
      <c r="I108" s="6" t="s">
        <v>202</v>
      </c>
      <c r="J108" s="7" t="s">
        <v>203</v>
      </c>
      <c r="K108" s="12" t="s">
        <v>681</v>
      </c>
      <c r="L108" s="10" t="s">
        <v>682</v>
      </c>
      <c r="M108" s="7"/>
      <c r="N108" s="12"/>
      <c r="O108" s="12" t="str">
        <f aca="false">IF($M108="","",IF(COUNTIFS('QC listings'!$A$5:$A$200,$M108,'QC listings'!$C$5:$C$200,O$4,'QC listings'!$F$5:$F$200,"Listing page")+COUNTIFS('QC listings'!$A$5:$A$200,$M108,'QC listings'!$C$5:$C$200,O$4,'QC listings'!$F$5:$F$200,"Brand page")&gt;0,"Y",IF(COUNTIFS('QC listings'!$A$5:$A$200,$M108,'QC listings'!$C$5:$C$200,O$4)&gt;0,"?","–")))</f>
        <v/>
      </c>
      <c r="P108" s="12" t="str">
        <f aca="false">IF($M108="","",IF(COUNTIFS('QC listings'!$A$5:$A$200,$M108,'QC listings'!$C$5:$C$200,P$4,'QC listings'!$F$5:$F$200,"Listing page")+COUNTIFS('QC listings'!$A$5:$A$200,$M108,'QC listings'!$C$5:$C$200,P$4,'QC listings'!$F$5:$F$200,"Brand page")&gt;0,"Y",IF(COUNTIFS('QC listings'!$A$5:$A$200,$M108,'QC listings'!$C$5:$C$200,P$4)&gt;0,"?","–")))</f>
        <v/>
      </c>
      <c r="Q108" s="12" t="str">
        <f aca="false">IF($M108="","",IF(COUNTIFS('QC listings'!$A$5:$A$200,$M108,'QC listings'!$C$5:$C$200,Q$4,'QC listings'!$F$5:$F$200,"Listing page")+COUNTIFS('QC listings'!$A$5:$A$200,$M108,'QC listings'!$C$5:$C$200,Q$4,'QC listings'!$F$5:$F$200,"Brand page")&gt;0,"Y",IF(COUNTIFS('QC listings'!$A$5:$A$200,$M108,'QC listings'!$C$5:$C$200,Q$4)&gt;0,"?","–")))</f>
        <v/>
      </c>
      <c r="R108" s="12" t="str">
        <f aca="false">IF($M108="","",IF(COUNTIFS('QC listings'!$A$5:$A$200,$M108,'QC listings'!$C$5:$C$200,R$4,'QC listings'!$F$5:$F$200,"Listing page")+COUNTIFS('QC listings'!$A$5:$A$200,$M108,'QC listings'!$C$5:$C$200,R$4,'QC listings'!$F$5:$F$200,"Brand page")&gt;0,"Y",IF(COUNTIFS('QC listings'!$A$5:$A$200,$M108,'QC listings'!$C$5:$C$200,R$4)&gt;0,"?","–")))</f>
        <v/>
      </c>
      <c r="S108" s="12" t="str">
        <f aca="false">IF($M108="","",COUNTIF(O108:R108,"Y"))</f>
        <v/>
      </c>
      <c r="T108" s="23" t="str">
        <f aca="false">IF($M108="","",SUMPRODUCT(MAX(('QC listings'!$A$5:$A$200=$M108)*'QC listings'!$E$5:$E$200)))</f>
        <v/>
      </c>
      <c r="U108" s="12" t="str">
        <f aca="false">IF($M108="","",IF(T108&gt;=Scoring!$B$11,3,IF(T108&gt;=Scoring!$B$10,2,IF(T108&gt;=Scoring!$B$9,1,0))))</f>
        <v/>
      </c>
      <c r="V108" s="12" t="n">
        <f aca="false">IFERROR(INDEX(Scoring!$B$27:$B$56,MATCH($E108,Scoring!$A$27:$A$56,0)),0)</f>
        <v>0</v>
      </c>
      <c r="W108" s="24" t="str">
        <f aca="false">IF($G108="","",ROUND((Scoring!$B$5-$G108)/30.4375,1))</f>
        <v/>
      </c>
      <c r="X108" s="12" t="n">
        <f aca="false">IF($F108="Expired",Scoring!$B$18,IF($G108="",Scoring!$B$17,IF(W108&lt;=Scoring!$B$12,Scoring!$B$13,IF(W108&lt;=Scoring!$B$14,Scoring!$B$15,Scoring!$B$16))))</f>
        <v>0</v>
      </c>
      <c r="Y108" s="15" t="str">
        <f aca="false">IF($M108="","",ROUND((S108*Scoring!$B$6+U108*Scoring!$B$7)*IFERROR(INDEX(Scoring!$B$22:$B$24,MATCH($N108,Scoring!$A$22:$A$24,0)),1)+V108*Scoring!$B$8+X108,2))</f>
        <v/>
      </c>
      <c r="Z108" s="12" t="str">
        <f aca="false">IF($M108="","",IF(SUMPRODUCT(($M$5:$M$249=$M108)*($G$5:$G$249&gt;$G108))&gt;0,0,IF(SUMPRODUCT(($M$5:$M$249=$M108)*($G$5:$G$249=$G108)*(ROW($M$5:$M$249)&lt;ROW($M108)))&gt;0,0,1)))</f>
        <v/>
      </c>
      <c r="AA108" s="12" t="str">
        <f aca="false">IF($Z108=1,RANK($AE108,$AE$5:$AE$249,0),"")</f>
        <v/>
      </c>
      <c r="AB108" s="7" t="s">
        <v>205</v>
      </c>
      <c r="AC108" s="6" t="s">
        <v>206</v>
      </c>
      <c r="AD108" s="6" t="s">
        <v>552</v>
      </c>
      <c r="AE108" s="25" t="str">
        <f aca="false">IF($Z108=1,$Y108+$T108/1000000000-ROW()/10000000,"")</f>
        <v/>
      </c>
    </row>
    <row r="109" customFormat="false" ht="23.85" hidden="false" customHeight="false" outlineLevel="0" collapsed="false">
      <c r="A109" s="7" t="s">
        <v>683</v>
      </c>
      <c r="B109" s="6" t="s">
        <v>684</v>
      </c>
      <c r="C109" s="6" t="s">
        <v>685</v>
      </c>
      <c r="D109" s="7" t="s">
        <v>145</v>
      </c>
      <c r="E109" s="7" t="s">
        <v>638</v>
      </c>
      <c r="F109" s="12" t="s">
        <v>222</v>
      </c>
      <c r="G109" s="13"/>
      <c r="H109" s="7"/>
      <c r="I109" s="6" t="s">
        <v>202</v>
      </c>
      <c r="J109" s="7" t="s">
        <v>203</v>
      </c>
      <c r="K109" s="12" t="s">
        <v>686</v>
      </c>
      <c r="L109" s="10" t="s">
        <v>687</v>
      </c>
      <c r="M109" s="7" t="s">
        <v>688</v>
      </c>
      <c r="N109" s="12" t="s">
        <v>152</v>
      </c>
      <c r="O109" s="12" t="str">
        <f aca="false">IF($M109="","",IF(COUNTIFS('QC listings'!$A$5:$A$200,$M109,'QC listings'!$C$5:$C$200,O$4,'QC listings'!$F$5:$F$200,"Listing page")+COUNTIFS('QC listings'!$A$5:$A$200,$M109,'QC listings'!$C$5:$C$200,O$4,'QC listings'!$F$5:$F$200,"Brand page")&gt;0,"Y",IF(COUNTIFS('QC listings'!$A$5:$A$200,$M109,'QC listings'!$C$5:$C$200,O$4)&gt;0,"?","–")))</f>
        <v>Y</v>
      </c>
      <c r="P109" s="12" t="str">
        <f aca="false">IF($M109="","",IF(COUNTIFS('QC listings'!$A$5:$A$200,$M109,'QC listings'!$C$5:$C$200,P$4,'QC listings'!$F$5:$F$200,"Listing page")+COUNTIFS('QC listings'!$A$5:$A$200,$M109,'QC listings'!$C$5:$C$200,P$4,'QC listings'!$F$5:$F$200,"Brand page")&gt;0,"Y",IF(COUNTIFS('QC listings'!$A$5:$A$200,$M109,'QC listings'!$C$5:$C$200,P$4)&gt;0,"?","–")))</f>
        <v>Y</v>
      </c>
      <c r="Q109" s="12" t="str">
        <f aca="false">IF($M109="","",IF(COUNTIFS('QC listings'!$A$5:$A$200,$M109,'QC listings'!$C$5:$C$200,Q$4,'QC listings'!$F$5:$F$200,"Listing page")+COUNTIFS('QC listings'!$A$5:$A$200,$M109,'QC listings'!$C$5:$C$200,Q$4,'QC listings'!$F$5:$F$200,"Brand page")&gt;0,"Y",IF(COUNTIFS('QC listings'!$A$5:$A$200,$M109,'QC listings'!$C$5:$C$200,Q$4)&gt;0,"?","–")))</f>
        <v>–</v>
      </c>
      <c r="R109" s="12" t="str">
        <f aca="false">IF($M109="","",IF(COUNTIFS('QC listings'!$A$5:$A$200,$M109,'QC listings'!$C$5:$C$200,R$4,'QC listings'!$F$5:$F$200,"Listing page")+COUNTIFS('QC listings'!$A$5:$A$200,$M109,'QC listings'!$C$5:$C$200,R$4,'QC listings'!$F$5:$F$200,"Brand page")&gt;0,"Y",IF(COUNTIFS('QC listings'!$A$5:$A$200,$M109,'QC listings'!$C$5:$C$200,R$4)&gt;0,"?","–")))</f>
        <v>Y</v>
      </c>
      <c r="S109" s="12" t="n">
        <f aca="false">IF($M109="","",COUNTIF(O109:R109,"Y"))</f>
        <v>3</v>
      </c>
      <c r="T109" s="23" t="n">
        <f aca="false">IF($M109="","",SUMPRODUCT(MAX(('QC listings'!$A$5:$A$200=$M109)*'QC listings'!$E$5:$E$200)))</f>
        <v>15107</v>
      </c>
      <c r="U109" s="12" t="n">
        <f aca="false">IF($M109="","",IF(T109&gt;=Scoring!$B$11,3,IF(T109&gt;=Scoring!$B$10,2,IF(T109&gt;=Scoring!$B$9,1,0))))</f>
        <v>2</v>
      </c>
      <c r="V109" s="12" t="n">
        <f aca="false">IFERROR(INDEX(Scoring!$B$27:$B$56,MATCH($E109,Scoring!$A$27:$A$56,0)),0)</f>
        <v>0</v>
      </c>
      <c r="W109" s="24" t="str">
        <f aca="false">IF($G109="","",ROUND((Scoring!$B$5-$G109)/30.4375,1))</f>
        <v/>
      </c>
      <c r="X109" s="12" t="n">
        <f aca="false">IF($F109="Expired",Scoring!$B$18,IF($G109="",Scoring!$B$17,IF(W109&lt;=Scoring!$B$12,Scoring!$B$13,IF(W109&lt;=Scoring!$B$14,Scoring!$B$15,Scoring!$B$16))))</f>
        <v>1</v>
      </c>
      <c r="Y109" s="15" t="n">
        <f aca="false">IF($M109="","",ROUND((S109*Scoring!$B$6+U109*Scoring!$B$7)*IFERROR(INDEX(Scoring!$B$22:$B$24,MATCH($N109,Scoring!$A$22:$A$24,0)),1)+V109*Scoring!$B$8+X109,2))</f>
        <v>8</v>
      </c>
      <c r="Z109" s="12" t="n">
        <f aca="false">IF($M109="","",IF(SUMPRODUCT(($M$5:$M$249=$M109)*($G$5:$G$249&gt;$G109))&gt;0,0,IF(SUMPRODUCT(($M$5:$M$249=$M109)*($G$5:$G$249=$G109)*(ROW($M$5:$M$249)&lt;ROW($M109)))&gt;0,0,1)))</f>
        <v>0</v>
      </c>
      <c r="AA109" s="12" t="str">
        <f aca="false">IF($Z109=1,RANK($AE109,$AE$5:$AE$249,0),"")</f>
        <v/>
      </c>
      <c r="AB109" s="7" t="s">
        <v>205</v>
      </c>
      <c r="AC109" s="6" t="s">
        <v>206</v>
      </c>
      <c r="AD109" s="6" t="s">
        <v>689</v>
      </c>
      <c r="AE109" s="25" t="str">
        <f aca="false">IF($Z109=1,$Y109+$T109/1000000000-ROW()/10000000,"")</f>
        <v/>
      </c>
    </row>
    <row r="110" customFormat="false" ht="23.85" hidden="false" customHeight="false" outlineLevel="0" collapsed="false">
      <c r="A110" s="7" t="s">
        <v>690</v>
      </c>
      <c r="B110" s="6" t="s">
        <v>684</v>
      </c>
      <c r="C110" s="6" t="s">
        <v>656</v>
      </c>
      <c r="D110" s="7" t="s">
        <v>145</v>
      </c>
      <c r="E110" s="7" t="s">
        <v>638</v>
      </c>
      <c r="F110" s="12" t="s">
        <v>147</v>
      </c>
      <c r="G110" s="13" t="n">
        <v>46234</v>
      </c>
      <c r="H110" s="7" t="s">
        <v>691</v>
      </c>
      <c r="I110" s="6" t="s">
        <v>149</v>
      </c>
      <c r="J110" s="7" t="s">
        <v>60</v>
      </c>
      <c r="K110" s="12"/>
      <c r="L110" s="10" t="s">
        <v>692</v>
      </c>
      <c r="M110" s="7" t="s">
        <v>688</v>
      </c>
      <c r="N110" s="12" t="s">
        <v>277</v>
      </c>
      <c r="O110" s="12" t="str">
        <f aca="false">IF($M110="","",IF(COUNTIFS('QC listings'!$A$5:$A$200,$M110,'QC listings'!$C$5:$C$200,O$4,'QC listings'!$F$5:$F$200,"Listing page")+COUNTIFS('QC listings'!$A$5:$A$200,$M110,'QC listings'!$C$5:$C$200,O$4,'QC listings'!$F$5:$F$200,"Brand page")&gt;0,"Y",IF(COUNTIFS('QC listings'!$A$5:$A$200,$M110,'QC listings'!$C$5:$C$200,O$4)&gt;0,"?","–")))</f>
        <v>Y</v>
      </c>
      <c r="P110" s="12" t="str">
        <f aca="false">IF($M110="","",IF(COUNTIFS('QC listings'!$A$5:$A$200,$M110,'QC listings'!$C$5:$C$200,P$4,'QC listings'!$F$5:$F$200,"Listing page")+COUNTIFS('QC listings'!$A$5:$A$200,$M110,'QC listings'!$C$5:$C$200,P$4,'QC listings'!$F$5:$F$200,"Brand page")&gt;0,"Y",IF(COUNTIFS('QC listings'!$A$5:$A$200,$M110,'QC listings'!$C$5:$C$200,P$4)&gt;0,"?","–")))</f>
        <v>Y</v>
      </c>
      <c r="Q110" s="12" t="str">
        <f aca="false">IF($M110="","",IF(COUNTIFS('QC listings'!$A$5:$A$200,$M110,'QC listings'!$C$5:$C$200,Q$4,'QC listings'!$F$5:$F$200,"Listing page")+COUNTIFS('QC listings'!$A$5:$A$200,$M110,'QC listings'!$C$5:$C$200,Q$4,'QC listings'!$F$5:$F$200,"Brand page")&gt;0,"Y",IF(COUNTIFS('QC listings'!$A$5:$A$200,$M110,'QC listings'!$C$5:$C$200,Q$4)&gt;0,"?","–")))</f>
        <v>–</v>
      </c>
      <c r="R110" s="12" t="str">
        <f aca="false">IF($M110="","",IF(COUNTIFS('QC listings'!$A$5:$A$200,$M110,'QC listings'!$C$5:$C$200,R$4,'QC listings'!$F$5:$F$200,"Listing page")+COUNTIFS('QC listings'!$A$5:$A$200,$M110,'QC listings'!$C$5:$C$200,R$4,'QC listings'!$F$5:$F$200,"Brand page")&gt;0,"Y",IF(COUNTIFS('QC listings'!$A$5:$A$200,$M110,'QC listings'!$C$5:$C$200,R$4)&gt;0,"?","–")))</f>
        <v>Y</v>
      </c>
      <c r="S110" s="12" t="n">
        <f aca="false">IF($M110="","",COUNTIF(O110:R110,"Y"))</f>
        <v>3</v>
      </c>
      <c r="T110" s="23" t="n">
        <f aca="false">IF($M110="","",SUMPRODUCT(MAX(('QC listings'!$A$5:$A$200=$M110)*'QC listings'!$E$5:$E$200)))</f>
        <v>15107</v>
      </c>
      <c r="U110" s="12" t="n">
        <f aca="false">IF($M110="","",IF(T110&gt;=Scoring!$B$11,3,IF(T110&gt;=Scoring!$B$10,2,IF(T110&gt;=Scoring!$B$9,1,0))))</f>
        <v>2</v>
      </c>
      <c r="V110" s="12" t="n">
        <f aca="false">IFERROR(INDEX(Scoring!$B$27:$B$56,MATCH($E110,Scoring!$A$27:$A$56,0)),0)</f>
        <v>0</v>
      </c>
      <c r="W110" s="24" t="n">
        <f aca="false">IF($G110="","",ROUND((Scoring!$B$5-$G110)/30.4375,1))</f>
        <v>2.1</v>
      </c>
      <c r="X110" s="12" t="n">
        <f aca="false">IF($F110="Expired",Scoring!$B$18,IF($G110="",Scoring!$B$17,IF(W110&lt;=Scoring!$B$12,Scoring!$B$13,IF(W110&lt;=Scoring!$B$14,Scoring!$B$15,Scoring!$B$16))))</f>
        <v>2</v>
      </c>
      <c r="Y110" s="15" t="n">
        <f aca="false">IF($M110="","",ROUND((S110*Scoring!$B$6+U110*Scoring!$B$7)*IFERROR(INDEX(Scoring!$B$22:$B$24,MATCH($N110,Scoring!$A$22:$A$24,0)),1)+V110*Scoring!$B$8+X110,2))</f>
        <v>7.25</v>
      </c>
      <c r="Z110" s="12" t="n">
        <f aca="false">IF($M110="","",IF(SUMPRODUCT(($M$5:$M$249=$M110)*($G$5:$G$249&gt;$G110))&gt;0,0,IF(SUMPRODUCT(($M$5:$M$249=$M110)*($G$5:$G$249=$G110)*(ROW($M$5:$M$249)&lt;ROW($M110)))&gt;0,0,1)))</f>
        <v>1</v>
      </c>
      <c r="AA110" s="12" t="n">
        <f aca="false">IF($Z110=1,RANK($AE110,$AE$5:$AE$249,0),"")</f>
        <v>17</v>
      </c>
      <c r="AB110" s="7" t="s">
        <v>153</v>
      </c>
      <c r="AC110" s="6" t="s">
        <v>154</v>
      </c>
      <c r="AD110" s="6" t="s">
        <v>457</v>
      </c>
      <c r="AE110" s="25" t="n">
        <f aca="false">IF($Z110=1,$Y110+$T110/1000000000-ROW()/10000000,"")</f>
        <v>7.250004107</v>
      </c>
    </row>
    <row r="111" customFormat="false" ht="35.05" hidden="false" customHeight="false" outlineLevel="0" collapsed="false">
      <c r="A111" s="7" t="s">
        <v>693</v>
      </c>
      <c r="B111" s="6" t="s">
        <v>694</v>
      </c>
      <c r="C111" s="6" t="s">
        <v>656</v>
      </c>
      <c r="D111" s="7" t="s">
        <v>145</v>
      </c>
      <c r="E111" s="7" t="s">
        <v>638</v>
      </c>
      <c r="F111" s="12" t="s">
        <v>147</v>
      </c>
      <c r="G111" s="13" t="n">
        <v>45574</v>
      </c>
      <c r="H111" s="7" t="s">
        <v>695</v>
      </c>
      <c r="I111" s="6" t="s">
        <v>149</v>
      </c>
      <c r="J111" s="7" t="s">
        <v>60</v>
      </c>
      <c r="K111" s="12"/>
      <c r="L111" s="10" t="s">
        <v>696</v>
      </c>
      <c r="M111" s="7" t="s">
        <v>697</v>
      </c>
      <c r="N111" s="12" t="s">
        <v>277</v>
      </c>
      <c r="O111" s="12" t="str">
        <f aca="false">IF($M111="","",IF(COUNTIFS('QC listings'!$A$5:$A$200,$M111,'QC listings'!$C$5:$C$200,O$4,'QC listings'!$F$5:$F$200,"Listing page")+COUNTIFS('QC listings'!$A$5:$A$200,$M111,'QC listings'!$C$5:$C$200,O$4,'QC listings'!$F$5:$F$200,"Brand page")&gt;0,"Y",IF(COUNTIFS('QC listings'!$A$5:$A$200,$M111,'QC listings'!$C$5:$C$200,O$4)&gt;0,"?","–")))</f>
        <v>Y</v>
      </c>
      <c r="P111" s="12" t="str">
        <f aca="false">IF($M111="","",IF(COUNTIFS('QC listings'!$A$5:$A$200,$M111,'QC listings'!$C$5:$C$200,P$4,'QC listings'!$F$5:$F$200,"Listing page")+COUNTIFS('QC listings'!$A$5:$A$200,$M111,'QC listings'!$C$5:$C$200,P$4,'QC listings'!$F$5:$F$200,"Brand page")&gt;0,"Y",IF(COUNTIFS('QC listings'!$A$5:$A$200,$M111,'QC listings'!$C$5:$C$200,P$4)&gt;0,"?","–")))</f>
        <v>Y</v>
      </c>
      <c r="Q111" s="12" t="str">
        <f aca="false">IF($M111="","",IF(COUNTIFS('QC listings'!$A$5:$A$200,$M111,'QC listings'!$C$5:$C$200,Q$4,'QC listings'!$F$5:$F$200,"Listing page")+COUNTIFS('QC listings'!$A$5:$A$200,$M111,'QC listings'!$C$5:$C$200,Q$4,'QC listings'!$F$5:$F$200,"Brand page")&gt;0,"Y",IF(COUNTIFS('QC listings'!$A$5:$A$200,$M111,'QC listings'!$C$5:$C$200,Q$4)&gt;0,"?","–")))</f>
        <v>–</v>
      </c>
      <c r="R111" s="12" t="str">
        <f aca="false">IF($M111="","",IF(COUNTIFS('QC listings'!$A$5:$A$200,$M111,'QC listings'!$C$5:$C$200,R$4,'QC listings'!$F$5:$F$200,"Listing page")+COUNTIFS('QC listings'!$A$5:$A$200,$M111,'QC listings'!$C$5:$C$200,R$4,'QC listings'!$F$5:$F$200,"Brand page")&gt;0,"Y",IF(COUNTIFS('QC listings'!$A$5:$A$200,$M111,'QC listings'!$C$5:$C$200,R$4)&gt;0,"?","–")))</f>
        <v>–</v>
      </c>
      <c r="S111" s="12" t="n">
        <f aca="false">IF($M111="","",COUNTIF(O111:R111,"Y"))</f>
        <v>2</v>
      </c>
      <c r="T111" s="23" t="n">
        <f aca="false">IF($M111="","",SUMPRODUCT(MAX(('QC listings'!$A$5:$A$200=$M111)*'QC listings'!$E$5:$E$200)))</f>
        <v>1800</v>
      </c>
      <c r="U111" s="12" t="n">
        <f aca="false">IF($M111="","",IF(T111&gt;=Scoring!$B$11,3,IF(T111&gt;=Scoring!$B$10,2,IF(T111&gt;=Scoring!$B$9,1,0))))</f>
        <v>1</v>
      </c>
      <c r="V111" s="12" t="n">
        <f aca="false">IFERROR(INDEX(Scoring!$B$27:$B$56,MATCH($E111,Scoring!$A$27:$A$56,0)),0)</f>
        <v>0</v>
      </c>
      <c r="W111" s="24" t="n">
        <f aca="false">IF($G111="","",ROUND((Scoring!$B$5-$G111)/30.4375,1))</f>
        <v>23.8</v>
      </c>
      <c r="X111" s="12" t="n">
        <f aca="false">IF($F111="Expired",Scoring!$B$18,IF($G111="",Scoring!$B$17,IF(W111&lt;=Scoring!$B$12,Scoring!$B$13,IF(W111&lt;=Scoring!$B$14,Scoring!$B$15,Scoring!$B$16))))</f>
        <v>1</v>
      </c>
      <c r="Y111" s="15" t="n">
        <f aca="false">IF($M111="","",ROUND((S111*Scoring!$B$6+U111*Scoring!$B$7)*IFERROR(INDEX(Scoring!$B$22:$B$24,MATCH($N111,Scoring!$A$22:$A$24,0)),1)+V111*Scoring!$B$8+X111,2))</f>
        <v>4</v>
      </c>
      <c r="Z111" s="12" t="n">
        <f aca="false">IF($M111="","",IF(SUMPRODUCT(($M$5:$M$249=$M111)*($G$5:$G$249&gt;$G111))&gt;0,0,IF(SUMPRODUCT(($M$5:$M$249=$M111)*($G$5:$G$249=$G111)*(ROW($M$5:$M$249)&lt;ROW($M111)))&gt;0,0,1)))</f>
        <v>1</v>
      </c>
      <c r="AA111" s="12" t="n">
        <f aca="false">IF($Z111=1,RANK($AE111,$AE$5:$AE$249,0),"")</f>
        <v>27</v>
      </c>
      <c r="AB111" s="7" t="s">
        <v>153</v>
      </c>
      <c r="AC111" s="6" t="s">
        <v>154</v>
      </c>
      <c r="AD111" s="6" t="s">
        <v>698</v>
      </c>
      <c r="AE111" s="25" t="n">
        <f aca="false">IF($Z111=1,$Y111+$T111/1000000000-ROW()/10000000,"")</f>
        <v>3.9999907</v>
      </c>
    </row>
    <row r="112" customFormat="false" ht="35.05" hidden="false" customHeight="false" outlineLevel="0" collapsed="false">
      <c r="A112" s="7" t="s">
        <v>699</v>
      </c>
      <c r="B112" s="6" t="s">
        <v>694</v>
      </c>
      <c r="C112" s="6" t="s">
        <v>700</v>
      </c>
      <c r="D112" s="7" t="s">
        <v>145</v>
      </c>
      <c r="E112" s="7" t="s">
        <v>638</v>
      </c>
      <c r="F112" s="12" t="s">
        <v>549</v>
      </c>
      <c r="G112" s="13"/>
      <c r="H112" s="7"/>
      <c r="I112" s="6" t="s">
        <v>202</v>
      </c>
      <c r="J112" s="7" t="s">
        <v>203</v>
      </c>
      <c r="K112" s="12" t="s">
        <v>556</v>
      </c>
      <c r="L112" s="10" t="s">
        <v>701</v>
      </c>
      <c r="M112" s="7" t="s">
        <v>697</v>
      </c>
      <c r="N112" s="12" t="s">
        <v>152</v>
      </c>
      <c r="O112" s="12" t="str">
        <f aca="false">IF($M112="","",IF(COUNTIFS('QC listings'!$A$5:$A$200,$M112,'QC listings'!$C$5:$C$200,O$4,'QC listings'!$F$5:$F$200,"Listing page")+COUNTIFS('QC listings'!$A$5:$A$200,$M112,'QC listings'!$C$5:$C$200,O$4,'QC listings'!$F$5:$F$200,"Brand page")&gt;0,"Y",IF(COUNTIFS('QC listings'!$A$5:$A$200,$M112,'QC listings'!$C$5:$C$200,O$4)&gt;0,"?","–")))</f>
        <v>Y</v>
      </c>
      <c r="P112" s="12" t="str">
        <f aca="false">IF($M112="","",IF(COUNTIFS('QC listings'!$A$5:$A$200,$M112,'QC listings'!$C$5:$C$200,P$4,'QC listings'!$F$5:$F$200,"Listing page")+COUNTIFS('QC listings'!$A$5:$A$200,$M112,'QC listings'!$C$5:$C$200,P$4,'QC listings'!$F$5:$F$200,"Brand page")&gt;0,"Y",IF(COUNTIFS('QC listings'!$A$5:$A$200,$M112,'QC listings'!$C$5:$C$200,P$4)&gt;0,"?","–")))</f>
        <v>Y</v>
      </c>
      <c r="Q112" s="12" t="str">
        <f aca="false">IF($M112="","",IF(COUNTIFS('QC listings'!$A$5:$A$200,$M112,'QC listings'!$C$5:$C$200,Q$4,'QC listings'!$F$5:$F$200,"Listing page")+COUNTIFS('QC listings'!$A$5:$A$200,$M112,'QC listings'!$C$5:$C$200,Q$4,'QC listings'!$F$5:$F$200,"Brand page")&gt;0,"Y",IF(COUNTIFS('QC listings'!$A$5:$A$200,$M112,'QC listings'!$C$5:$C$200,Q$4)&gt;0,"?","–")))</f>
        <v>–</v>
      </c>
      <c r="R112" s="12" t="str">
        <f aca="false">IF($M112="","",IF(COUNTIFS('QC listings'!$A$5:$A$200,$M112,'QC listings'!$C$5:$C$200,R$4,'QC listings'!$F$5:$F$200,"Listing page")+COUNTIFS('QC listings'!$A$5:$A$200,$M112,'QC listings'!$C$5:$C$200,R$4,'QC listings'!$F$5:$F$200,"Brand page")&gt;0,"Y",IF(COUNTIFS('QC listings'!$A$5:$A$200,$M112,'QC listings'!$C$5:$C$200,R$4)&gt;0,"?","–")))</f>
        <v>–</v>
      </c>
      <c r="S112" s="12" t="n">
        <f aca="false">IF($M112="","",COUNTIF(O112:R112,"Y"))</f>
        <v>2</v>
      </c>
      <c r="T112" s="23" t="n">
        <f aca="false">IF($M112="","",SUMPRODUCT(MAX(('QC listings'!$A$5:$A$200=$M112)*'QC listings'!$E$5:$E$200)))</f>
        <v>1800</v>
      </c>
      <c r="U112" s="12" t="n">
        <f aca="false">IF($M112="","",IF(T112&gt;=Scoring!$B$11,3,IF(T112&gt;=Scoring!$B$10,2,IF(T112&gt;=Scoring!$B$9,1,0))))</f>
        <v>1</v>
      </c>
      <c r="V112" s="12" t="n">
        <f aca="false">IFERROR(INDEX(Scoring!$B$27:$B$56,MATCH($E112,Scoring!$A$27:$A$56,0)),0)</f>
        <v>0</v>
      </c>
      <c r="W112" s="24" t="str">
        <f aca="false">IF($G112="","",ROUND((Scoring!$B$5-$G112)/30.4375,1))</f>
        <v/>
      </c>
      <c r="X112" s="12" t="n">
        <f aca="false">IF($F112="Expired",Scoring!$B$18,IF($G112="",Scoring!$B$17,IF(W112&lt;=Scoring!$B$12,Scoring!$B$13,IF(W112&lt;=Scoring!$B$14,Scoring!$B$15,Scoring!$B$16))))</f>
        <v>0</v>
      </c>
      <c r="Y112" s="15" t="n">
        <f aca="false">IF($M112="","",ROUND((S112*Scoring!$B$6+U112*Scoring!$B$7)*IFERROR(INDEX(Scoring!$B$22:$B$24,MATCH($N112,Scoring!$A$22:$A$24,0)),1)+V112*Scoring!$B$8+X112,2))</f>
        <v>4</v>
      </c>
      <c r="Z112" s="12" t="n">
        <f aca="false">IF($M112="","",IF(SUMPRODUCT(($M$5:$M$249=$M112)*($G$5:$G$249&gt;$G112))&gt;0,0,IF(SUMPRODUCT(($M$5:$M$249=$M112)*($G$5:$G$249=$G112)*(ROW($M$5:$M$249)&lt;ROW($M112)))&gt;0,0,1)))</f>
        <v>0</v>
      </c>
      <c r="AA112" s="12" t="str">
        <f aca="false">IF($Z112=1,RANK($AE112,$AE$5:$AE$249,0),"")</f>
        <v/>
      </c>
      <c r="AB112" s="7" t="s">
        <v>205</v>
      </c>
      <c r="AC112" s="6" t="s">
        <v>206</v>
      </c>
      <c r="AD112" s="6" t="s">
        <v>702</v>
      </c>
      <c r="AE112" s="25" t="str">
        <f aca="false">IF($Z112=1,$Y112+$T112/1000000000-ROW()/10000000,"")</f>
        <v/>
      </c>
    </row>
    <row r="113" customFormat="false" ht="23.85" hidden="false" customHeight="false" outlineLevel="0" collapsed="false">
      <c r="A113" s="7" t="s">
        <v>703</v>
      </c>
      <c r="B113" s="6" t="s">
        <v>704</v>
      </c>
      <c r="C113" s="6" t="s">
        <v>705</v>
      </c>
      <c r="D113" s="7" t="s">
        <v>145</v>
      </c>
      <c r="E113" s="7" t="s">
        <v>638</v>
      </c>
      <c r="F113" s="12" t="s">
        <v>147</v>
      </c>
      <c r="G113" s="13" t="n">
        <v>45756</v>
      </c>
      <c r="H113" s="7" t="s">
        <v>706</v>
      </c>
      <c r="I113" s="6" t="s">
        <v>149</v>
      </c>
      <c r="J113" s="7" t="s">
        <v>60</v>
      </c>
      <c r="K113" s="12"/>
      <c r="L113" s="10" t="s">
        <v>707</v>
      </c>
      <c r="M113" s="7"/>
      <c r="N113" s="12"/>
      <c r="O113" s="12" t="str">
        <f aca="false">IF($M113="","",IF(COUNTIFS('QC listings'!$A$5:$A$200,$M113,'QC listings'!$C$5:$C$200,O$4,'QC listings'!$F$5:$F$200,"Listing page")+COUNTIFS('QC listings'!$A$5:$A$200,$M113,'QC listings'!$C$5:$C$200,O$4,'QC listings'!$F$5:$F$200,"Brand page")&gt;0,"Y",IF(COUNTIFS('QC listings'!$A$5:$A$200,$M113,'QC listings'!$C$5:$C$200,O$4)&gt;0,"?","–")))</f>
        <v/>
      </c>
      <c r="P113" s="12" t="str">
        <f aca="false">IF($M113="","",IF(COUNTIFS('QC listings'!$A$5:$A$200,$M113,'QC listings'!$C$5:$C$200,P$4,'QC listings'!$F$5:$F$200,"Listing page")+COUNTIFS('QC listings'!$A$5:$A$200,$M113,'QC listings'!$C$5:$C$200,P$4,'QC listings'!$F$5:$F$200,"Brand page")&gt;0,"Y",IF(COUNTIFS('QC listings'!$A$5:$A$200,$M113,'QC listings'!$C$5:$C$200,P$4)&gt;0,"?","–")))</f>
        <v/>
      </c>
      <c r="Q113" s="12" t="str">
        <f aca="false">IF($M113="","",IF(COUNTIFS('QC listings'!$A$5:$A$200,$M113,'QC listings'!$C$5:$C$200,Q$4,'QC listings'!$F$5:$F$200,"Listing page")+COUNTIFS('QC listings'!$A$5:$A$200,$M113,'QC listings'!$C$5:$C$200,Q$4,'QC listings'!$F$5:$F$200,"Brand page")&gt;0,"Y",IF(COUNTIFS('QC listings'!$A$5:$A$200,$M113,'QC listings'!$C$5:$C$200,Q$4)&gt;0,"?","–")))</f>
        <v/>
      </c>
      <c r="R113" s="12" t="str">
        <f aca="false">IF($M113="","",IF(COUNTIFS('QC listings'!$A$5:$A$200,$M113,'QC listings'!$C$5:$C$200,R$4,'QC listings'!$F$5:$F$200,"Listing page")+COUNTIFS('QC listings'!$A$5:$A$200,$M113,'QC listings'!$C$5:$C$200,R$4,'QC listings'!$F$5:$F$200,"Brand page")&gt;0,"Y",IF(COUNTIFS('QC listings'!$A$5:$A$200,$M113,'QC listings'!$C$5:$C$200,R$4)&gt;0,"?","–")))</f>
        <v/>
      </c>
      <c r="S113" s="12" t="str">
        <f aca="false">IF($M113="","",COUNTIF(O113:R113,"Y"))</f>
        <v/>
      </c>
      <c r="T113" s="23" t="str">
        <f aca="false">IF($M113="","",SUMPRODUCT(MAX(('QC listings'!$A$5:$A$200=$M113)*'QC listings'!$E$5:$E$200)))</f>
        <v/>
      </c>
      <c r="U113" s="12" t="str">
        <f aca="false">IF($M113="","",IF(T113&gt;=Scoring!$B$11,3,IF(T113&gt;=Scoring!$B$10,2,IF(T113&gt;=Scoring!$B$9,1,0))))</f>
        <v/>
      </c>
      <c r="V113" s="12" t="n">
        <f aca="false">IFERROR(INDEX(Scoring!$B$27:$B$56,MATCH($E113,Scoring!$A$27:$A$56,0)),0)</f>
        <v>0</v>
      </c>
      <c r="W113" s="24" t="n">
        <f aca="false">IF($G113="","",ROUND((Scoring!$B$5-$G113)/30.4375,1))</f>
        <v>17.8</v>
      </c>
      <c r="X113" s="12" t="n">
        <f aca="false">IF($F113="Expired",Scoring!$B$18,IF($G113="",Scoring!$B$17,IF(W113&lt;=Scoring!$B$12,Scoring!$B$13,IF(W113&lt;=Scoring!$B$14,Scoring!$B$15,Scoring!$B$16))))</f>
        <v>1</v>
      </c>
      <c r="Y113" s="15" t="str">
        <f aca="false">IF($M113="","",ROUND((S113*Scoring!$B$6+U113*Scoring!$B$7)*IFERROR(INDEX(Scoring!$B$22:$B$24,MATCH($N113,Scoring!$A$22:$A$24,0)),1)+V113*Scoring!$B$8+X113,2))</f>
        <v/>
      </c>
      <c r="Z113" s="12" t="str">
        <f aca="false">IF($M113="","",IF(SUMPRODUCT(($M$5:$M$249=$M113)*($G$5:$G$249&gt;$G113))&gt;0,0,IF(SUMPRODUCT(($M$5:$M$249=$M113)*($G$5:$G$249=$G113)*(ROW($M$5:$M$249)&lt;ROW($M113)))&gt;0,0,1)))</f>
        <v/>
      </c>
      <c r="AA113" s="12" t="str">
        <f aca="false">IF($Z113=1,RANK($AE113,$AE$5:$AE$249,0),"")</f>
        <v/>
      </c>
      <c r="AB113" s="7" t="s">
        <v>153</v>
      </c>
      <c r="AC113" s="6" t="s">
        <v>154</v>
      </c>
      <c r="AD113" s="6"/>
      <c r="AE113" s="25" t="str">
        <f aca="false">IF($Z113=1,$Y113+$T113/1000000000-ROW()/10000000,"")</f>
        <v/>
      </c>
    </row>
    <row r="114" customFormat="false" ht="23.85" hidden="false" customHeight="false" outlineLevel="0" collapsed="false">
      <c r="A114" s="7" t="s">
        <v>708</v>
      </c>
      <c r="B114" s="6" t="s">
        <v>704</v>
      </c>
      <c r="C114" s="6" t="s">
        <v>661</v>
      </c>
      <c r="D114" s="7" t="s">
        <v>145</v>
      </c>
      <c r="E114" s="7" t="s">
        <v>638</v>
      </c>
      <c r="F114" s="12" t="s">
        <v>222</v>
      </c>
      <c r="G114" s="13"/>
      <c r="H114" s="7"/>
      <c r="I114" s="6" t="s">
        <v>202</v>
      </c>
      <c r="J114" s="7" t="s">
        <v>203</v>
      </c>
      <c r="K114" s="12" t="s">
        <v>709</v>
      </c>
      <c r="L114" s="10" t="s">
        <v>710</v>
      </c>
      <c r="M114" s="7"/>
      <c r="N114" s="12"/>
      <c r="O114" s="12" t="str">
        <f aca="false">IF($M114="","",IF(COUNTIFS('QC listings'!$A$5:$A$200,$M114,'QC listings'!$C$5:$C$200,O$4,'QC listings'!$F$5:$F$200,"Listing page")+COUNTIFS('QC listings'!$A$5:$A$200,$M114,'QC listings'!$C$5:$C$200,O$4,'QC listings'!$F$5:$F$200,"Brand page")&gt;0,"Y",IF(COUNTIFS('QC listings'!$A$5:$A$200,$M114,'QC listings'!$C$5:$C$200,O$4)&gt;0,"?","–")))</f>
        <v/>
      </c>
      <c r="P114" s="12" t="str">
        <f aca="false">IF($M114="","",IF(COUNTIFS('QC listings'!$A$5:$A$200,$M114,'QC listings'!$C$5:$C$200,P$4,'QC listings'!$F$5:$F$200,"Listing page")+COUNTIFS('QC listings'!$A$5:$A$200,$M114,'QC listings'!$C$5:$C$200,P$4,'QC listings'!$F$5:$F$200,"Brand page")&gt;0,"Y",IF(COUNTIFS('QC listings'!$A$5:$A$200,$M114,'QC listings'!$C$5:$C$200,P$4)&gt;0,"?","–")))</f>
        <v/>
      </c>
      <c r="Q114" s="12" t="str">
        <f aca="false">IF($M114="","",IF(COUNTIFS('QC listings'!$A$5:$A$200,$M114,'QC listings'!$C$5:$C$200,Q$4,'QC listings'!$F$5:$F$200,"Listing page")+COUNTIFS('QC listings'!$A$5:$A$200,$M114,'QC listings'!$C$5:$C$200,Q$4,'QC listings'!$F$5:$F$200,"Brand page")&gt;0,"Y",IF(COUNTIFS('QC listings'!$A$5:$A$200,$M114,'QC listings'!$C$5:$C$200,Q$4)&gt;0,"?","–")))</f>
        <v/>
      </c>
      <c r="R114" s="12" t="str">
        <f aca="false">IF($M114="","",IF(COUNTIFS('QC listings'!$A$5:$A$200,$M114,'QC listings'!$C$5:$C$200,R$4,'QC listings'!$F$5:$F$200,"Listing page")+COUNTIFS('QC listings'!$A$5:$A$200,$M114,'QC listings'!$C$5:$C$200,R$4,'QC listings'!$F$5:$F$200,"Brand page")&gt;0,"Y",IF(COUNTIFS('QC listings'!$A$5:$A$200,$M114,'QC listings'!$C$5:$C$200,R$4)&gt;0,"?","–")))</f>
        <v/>
      </c>
      <c r="S114" s="12" t="str">
        <f aca="false">IF($M114="","",COUNTIF(O114:R114,"Y"))</f>
        <v/>
      </c>
      <c r="T114" s="23" t="str">
        <f aca="false">IF($M114="","",SUMPRODUCT(MAX(('QC listings'!$A$5:$A$200=$M114)*'QC listings'!$E$5:$E$200)))</f>
        <v/>
      </c>
      <c r="U114" s="12" t="str">
        <f aca="false">IF($M114="","",IF(T114&gt;=Scoring!$B$11,3,IF(T114&gt;=Scoring!$B$10,2,IF(T114&gt;=Scoring!$B$9,1,0))))</f>
        <v/>
      </c>
      <c r="V114" s="12" t="n">
        <f aca="false">IFERROR(INDEX(Scoring!$B$27:$B$56,MATCH($E114,Scoring!$A$27:$A$56,0)),0)</f>
        <v>0</v>
      </c>
      <c r="W114" s="24" t="str">
        <f aca="false">IF($G114="","",ROUND((Scoring!$B$5-$G114)/30.4375,1))</f>
        <v/>
      </c>
      <c r="X114" s="12" t="n">
        <f aca="false">IF($F114="Expired",Scoring!$B$18,IF($G114="",Scoring!$B$17,IF(W114&lt;=Scoring!$B$12,Scoring!$B$13,IF(W114&lt;=Scoring!$B$14,Scoring!$B$15,Scoring!$B$16))))</f>
        <v>1</v>
      </c>
      <c r="Y114" s="15" t="str">
        <f aca="false">IF($M114="","",ROUND((S114*Scoring!$B$6+U114*Scoring!$B$7)*IFERROR(INDEX(Scoring!$B$22:$B$24,MATCH($N114,Scoring!$A$22:$A$24,0)),1)+V114*Scoring!$B$8+X114,2))</f>
        <v/>
      </c>
      <c r="Z114" s="12" t="str">
        <f aca="false">IF($M114="","",IF(SUMPRODUCT(($M$5:$M$249=$M114)*($G$5:$G$249&gt;$G114))&gt;0,0,IF(SUMPRODUCT(($M$5:$M$249=$M114)*($G$5:$G$249=$G114)*(ROW($M$5:$M$249)&lt;ROW($M114)))&gt;0,0,1)))</f>
        <v/>
      </c>
      <c r="AA114" s="12" t="str">
        <f aca="false">IF($Z114=1,RANK($AE114,$AE$5:$AE$249,0),"")</f>
        <v/>
      </c>
      <c r="AB114" s="7" t="s">
        <v>205</v>
      </c>
      <c r="AC114" s="6" t="s">
        <v>206</v>
      </c>
      <c r="AD114" s="6" t="s">
        <v>711</v>
      </c>
      <c r="AE114" s="25" t="str">
        <f aca="false">IF($Z114=1,$Y114+$T114/1000000000-ROW()/10000000,"")</f>
        <v/>
      </c>
    </row>
    <row r="115" customFormat="false" ht="35.05" hidden="false" customHeight="false" outlineLevel="0" collapsed="false">
      <c r="A115" s="7" t="s">
        <v>712</v>
      </c>
      <c r="B115" s="6" t="s">
        <v>509</v>
      </c>
      <c r="C115" s="6" t="s">
        <v>713</v>
      </c>
      <c r="D115" s="7" t="s">
        <v>145</v>
      </c>
      <c r="E115" s="7" t="s">
        <v>638</v>
      </c>
      <c r="F115" s="12" t="s">
        <v>549</v>
      </c>
      <c r="G115" s="13"/>
      <c r="H115" s="7"/>
      <c r="I115" s="6" t="s">
        <v>202</v>
      </c>
      <c r="J115" s="7" t="s">
        <v>203</v>
      </c>
      <c r="K115" s="12" t="s">
        <v>714</v>
      </c>
      <c r="L115" s="10" t="s">
        <v>715</v>
      </c>
      <c r="M115" s="7" t="s">
        <v>716</v>
      </c>
      <c r="N115" s="12" t="s">
        <v>152</v>
      </c>
      <c r="O115" s="12" t="str">
        <f aca="false">IF($M115="","",IF(COUNTIFS('QC listings'!$A$5:$A$200,$M115,'QC listings'!$C$5:$C$200,O$4,'QC listings'!$F$5:$F$200,"Listing page")+COUNTIFS('QC listings'!$A$5:$A$200,$M115,'QC listings'!$C$5:$C$200,O$4,'QC listings'!$F$5:$F$200,"Brand page")&gt;0,"Y",IF(COUNTIFS('QC listings'!$A$5:$A$200,$M115,'QC listings'!$C$5:$C$200,O$4)&gt;0,"?","–")))</f>
        <v>–</v>
      </c>
      <c r="P115" s="12" t="str">
        <f aca="false">IF($M115="","",IF(COUNTIFS('QC listings'!$A$5:$A$200,$M115,'QC listings'!$C$5:$C$200,P$4,'QC listings'!$F$5:$F$200,"Listing page")+COUNTIFS('QC listings'!$A$5:$A$200,$M115,'QC listings'!$C$5:$C$200,P$4,'QC listings'!$F$5:$F$200,"Brand page")&gt;0,"Y",IF(COUNTIFS('QC listings'!$A$5:$A$200,$M115,'QC listings'!$C$5:$C$200,P$4)&gt;0,"?","–")))</f>
        <v>Y</v>
      </c>
      <c r="Q115" s="12" t="str">
        <f aca="false">IF($M115="","",IF(COUNTIFS('QC listings'!$A$5:$A$200,$M115,'QC listings'!$C$5:$C$200,Q$4,'QC listings'!$F$5:$F$200,"Listing page")+COUNTIFS('QC listings'!$A$5:$A$200,$M115,'QC listings'!$C$5:$C$200,Q$4,'QC listings'!$F$5:$F$200,"Brand page")&gt;0,"Y",IF(COUNTIFS('QC listings'!$A$5:$A$200,$M115,'QC listings'!$C$5:$C$200,Q$4)&gt;0,"?","–")))</f>
        <v>–</v>
      </c>
      <c r="R115" s="12" t="str">
        <f aca="false">IF($M115="","",IF(COUNTIFS('QC listings'!$A$5:$A$200,$M115,'QC listings'!$C$5:$C$200,R$4,'QC listings'!$F$5:$F$200,"Listing page")+COUNTIFS('QC listings'!$A$5:$A$200,$M115,'QC listings'!$C$5:$C$200,R$4,'QC listings'!$F$5:$F$200,"Brand page")&gt;0,"Y",IF(COUNTIFS('QC listings'!$A$5:$A$200,$M115,'QC listings'!$C$5:$C$200,R$4)&gt;0,"?","–")))</f>
        <v>–</v>
      </c>
      <c r="S115" s="12" t="n">
        <f aca="false">IF($M115="","",COUNTIF(O115:R115,"Y"))</f>
        <v>1</v>
      </c>
      <c r="T115" s="23" t="n">
        <f aca="false">IF($M115="","",SUMPRODUCT(MAX(('QC listings'!$A$5:$A$200=$M115)*'QC listings'!$E$5:$E$200)))</f>
        <v>860</v>
      </c>
      <c r="U115" s="12" t="n">
        <f aca="false">IF($M115="","",IF(T115&gt;=Scoring!$B$11,3,IF(T115&gt;=Scoring!$B$10,2,IF(T115&gt;=Scoring!$B$9,1,0))))</f>
        <v>0</v>
      </c>
      <c r="V115" s="12" t="n">
        <f aca="false">IFERROR(INDEX(Scoring!$B$27:$B$56,MATCH($E115,Scoring!$A$27:$A$56,0)),0)</f>
        <v>0</v>
      </c>
      <c r="W115" s="24" t="str">
        <f aca="false">IF($G115="","",ROUND((Scoring!$B$5-$G115)/30.4375,1))</f>
        <v/>
      </c>
      <c r="X115" s="12" t="n">
        <f aca="false">IF($F115="Expired",Scoring!$B$18,IF($G115="",Scoring!$B$17,IF(W115&lt;=Scoring!$B$12,Scoring!$B$13,IF(W115&lt;=Scoring!$B$14,Scoring!$B$15,Scoring!$B$16))))</f>
        <v>0</v>
      </c>
      <c r="Y115" s="15" t="n">
        <f aca="false">IF($M115="","",ROUND((S115*Scoring!$B$6+U115*Scoring!$B$7)*IFERROR(INDEX(Scoring!$B$22:$B$24,MATCH($N115,Scoring!$A$22:$A$24,0)),1)+V115*Scoring!$B$8+X115,2))</f>
        <v>1</v>
      </c>
      <c r="Z115" s="12" t="n">
        <f aca="false">IF($M115="","",IF(SUMPRODUCT(($M$5:$M$249=$M115)*($G$5:$G$249&gt;$G115))&gt;0,0,IF(SUMPRODUCT(($M$5:$M$249=$M115)*($G$5:$G$249=$G115)*(ROW($M$5:$M$249)&lt;ROW($M115)))&gt;0,0,1)))</f>
        <v>1</v>
      </c>
      <c r="AA115" s="12" t="n">
        <f aca="false">IF($Z115=1,RANK($AE115,$AE$5:$AE$249,0),"")</f>
        <v>37</v>
      </c>
      <c r="AB115" s="7" t="s">
        <v>205</v>
      </c>
      <c r="AC115" s="6" t="s">
        <v>206</v>
      </c>
      <c r="AD115" s="6" t="s">
        <v>717</v>
      </c>
      <c r="AE115" s="25" t="n">
        <f aca="false">IF($Z115=1,$Y115+$T115/1000000000-ROW()/10000000,"")</f>
        <v>0.99998936</v>
      </c>
    </row>
    <row r="116" customFormat="false" ht="23.85" hidden="false" customHeight="false" outlineLevel="0" collapsed="false">
      <c r="A116" s="7" t="s">
        <v>718</v>
      </c>
      <c r="B116" s="6" t="s">
        <v>567</v>
      </c>
      <c r="C116" s="6" t="s">
        <v>719</v>
      </c>
      <c r="D116" s="7" t="s">
        <v>145</v>
      </c>
      <c r="E116" s="7" t="s">
        <v>638</v>
      </c>
      <c r="F116" s="12" t="s">
        <v>222</v>
      </c>
      <c r="G116" s="13"/>
      <c r="H116" s="7"/>
      <c r="I116" s="6" t="s">
        <v>202</v>
      </c>
      <c r="J116" s="7" t="s">
        <v>203</v>
      </c>
      <c r="K116" s="12" t="s">
        <v>671</v>
      </c>
      <c r="L116" s="10" t="s">
        <v>720</v>
      </c>
      <c r="M116" s="7"/>
      <c r="N116" s="12"/>
      <c r="O116" s="12" t="str">
        <f aca="false">IF($M116="","",IF(COUNTIFS('QC listings'!$A$5:$A$200,$M116,'QC listings'!$C$5:$C$200,O$4,'QC listings'!$F$5:$F$200,"Listing page")+COUNTIFS('QC listings'!$A$5:$A$200,$M116,'QC listings'!$C$5:$C$200,O$4,'QC listings'!$F$5:$F$200,"Brand page")&gt;0,"Y",IF(COUNTIFS('QC listings'!$A$5:$A$200,$M116,'QC listings'!$C$5:$C$200,O$4)&gt;0,"?","–")))</f>
        <v/>
      </c>
      <c r="P116" s="12" t="str">
        <f aca="false">IF($M116="","",IF(COUNTIFS('QC listings'!$A$5:$A$200,$M116,'QC listings'!$C$5:$C$200,P$4,'QC listings'!$F$5:$F$200,"Listing page")+COUNTIFS('QC listings'!$A$5:$A$200,$M116,'QC listings'!$C$5:$C$200,P$4,'QC listings'!$F$5:$F$200,"Brand page")&gt;0,"Y",IF(COUNTIFS('QC listings'!$A$5:$A$200,$M116,'QC listings'!$C$5:$C$200,P$4)&gt;0,"?","–")))</f>
        <v/>
      </c>
      <c r="Q116" s="12" t="str">
        <f aca="false">IF($M116="","",IF(COUNTIFS('QC listings'!$A$5:$A$200,$M116,'QC listings'!$C$5:$C$200,Q$4,'QC listings'!$F$5:$F$200,"Listing page")+COUNTIFS('QC listings'!$A$5:$A$200,$M116,'QC listings'!$C$5:$C$200,Q$4,'QC listings'!$F$5:$F$200,"Brand page")&gt;0,"Y",IF(COUNTIFS('QC listings'!$A$5:$A$200,$M116,'QC listings'!$C$5:$C$200,Q$4)&gt;0,"?","–")))</f>
        <v/>
      </c>
      <c r="R116" s="12" t="str">
        <f aca="false">IF($M116="","",IF(COUNTIFS('QC listings'!$A$5:$A$200,$M116,'QC listings'!$C$5:$C$200,R$4,'QC listings'!$F$5:$F$200,"Listing page")+COUNTIFS('QC listings'!$A$5:$A$200,$M116,'QC listings'!$C$5:$C$200,R$4,'QC listings'!$F$5:$F$200,"Brand page")&gt;0,"Y",IF(COUNTIFS('QC listings'!$A$5:$A$200,$M116,'QC listings'!$C$5:$C$200,R$4)&gt;0,"?","–")))</f>
        <v/>
      </c>
      <c r="S116" s="12" t="str">
        <f aca="false">IF($M116="","",COUNTIF(O116:R116,"Y"))</f>
        <v/>
      </c>
      <c r="T116" s="23" t="str">
        <f aca="false">IF($M116="","",SUMPRODUCT(MAX(('QC listings'!$A$5:$A$200=$M116)*'QC listings'!$E$5:$E$200)))</f>
        <v/>
      </c>
      <c r="U116" s="12" t="str">
        <f aca="false">IF($M116="","",IF(T116&gt;=Scoring!$B$11,3,IF(T116&gt;=Scoring!$B$10,2,IF(T116&gt;=Scoring!$B$9,1,0))))</f>
        <v/>
      </c>
      <c r="V116" s="12" t="n">
        <f aca="false">IFERROR(INDEX(Scoring!$B$27:$B$56,MATCH($E116,Scoring!$A$27:$A$56,0)),0)</f>
        <v>0</v>
      </c>
      <c r="W116" s="24" t="str">
        <f aca="false">IF($G116="","",ROUND((Scoring!$B$5-$G116)/30.4375,1))</f>
        <v/>
      </c>
      <c r="X116" s="12" t="n">
        <f aca="false">IF($F116="Expired",Scoring!$B$18,IF($G116="",Scoring!$B$17,IF(W116&lt;=Scoring!$B$12,Scoring!$B$13,IF(W116&lt;=Scoring!$B$14,Scoring!$B$15,Scoring!$B$16))))</f>
        <v>1</v>
      </c>
      <c r="Y116" s="15" t="str">
        <f aca="false">IF($M116="","",ROUND((S116*Scoring!$B$6+U116*Scoring!$B$7)*IFERROR(INDEX(Scoring!$B$22:$B$24,MATCH($N116,Scoring!$A$22:$A$24,0)),1)+V116*Scoring!$B$8+X116,2))</f>
        <v/>
      </c>
      <c r="Z116" s="12" t="str">
        <f aca="false">IF($M116="","",IF(SUMPRODUCT(($M$5:$M$249=$M116)*($G$5:$G$249&gt;$G116))&gt;0,0,IF(SUMPRODUCT(($M$5:$M$249=$M116)*($G$5:$G$249=$G116)*(ROW($M$5:$M$249)&lt;ROW($M116)))&gt;0,0,1)))</f>
        <v/>
      </c>
      <c r="AA116" s="12" t="str">
        <f aca="false">IF($Z116=1,RANK($AE116,$AE$5:$AE$249,0),"")</f>
        <v/>
      </c>
      <c r="AB116" s="7" t="s">
        <v>205</v>
      </c>
      <c r="AC116" s="6" t="s">
        <v>206</v>
      </c>
      <c r="AD116" s="6" t="s">
        <v>664</v>
      </c>
      <c r="AE116" s="25" t="str">
        <f aca="false">IF($Z116=1,$Y116+$T116/1000000000-ROW()/10000000,"")</f>
        <v/>
      </c>
    </row>
    <row r="117" customFormat="false" ht="23.85" hidden="false" customHeight="false" outlineLevel="0" collapsed="false">
      <c r="A117" s="7" t="s">
        <v>721</v>
      </c>
      <c r="B117" s="6" t="s">
        <v>722</v>
      </c>
      <c r="C117" s="6" t="s">
        <v>723</v>
      </c>
      <c r="D117" s="7" t="s">
        <v>145</v>
      </c>
      <c r="E117" s="7" t="s">
        <v>724</v>
      </c>
      <c r="F117" s="12" t="s">
        <v>725</v>
      </c>
      <c r="G117" s="13" t="n">
        <v>45758</v>
      </c>
      <c r="H117" s="7" t="s">
        <v>726</v>
      </c>
      <c r="I117" s="6" t="s">
        <v>149</v>
      </c>
      <c r="J117" s="7" t="s">
        <v>727</v>
      </c>
      <c r="K117" s="12"/>
      <c r="L117" s="10" t="s">
        <v>728</v>
      </c>
      <c r="M117" s="7"/>
      <c r="N117" s="12"/>
      <c r="O117" s="12" t="str">
        <f aca="false">IF($M117="","",IF(COUNTIFS('QC listings'!$A$5:$A$200,$M117,'QC listings'!$C$5:$C$200,O$4,'QC listings'!$F$5:$F$200,"Listing page")+COUNTIFS('QC listings'!$A$5:$A$200,$M117,'QC listings'!$C$5:$C$200,O$4,'QC listings'!$F$5:$F$200,"Brand page")&gt;0,"Y",IF(COUNTIFS('QC listings'!$A$5:$A$200,$M117,'QC listings'!$C$5:$C$200,O$4)&gt;0,"?","–")))</f>
        <v/>
      </c>
      <c r="P117" s="12" t="str">
        <f aca="false">IF($M117="","",IF(COUNTIFS('QC listings'!$A$5:$A$200,$M117,'QC listings'!$C$5:$C$200,P$4,'QC listings'!$F$5:$F$200,"Listing page")+COUNTIFS('QC listings'!$A$5:$A$200,$M117,'QC listings'!$C$5:$C$200,P$4,'QC listings'!$F$5:$F$200,"Brand page")&gt;0,"Y",IF(COUNTIFS('QC listings'!$A$5:$A$200,$M117,'QC listings'!$C$5:$C$200,P$4)&gt;0,"?","–")))</f>
        <v/>
      </c>
      <c r="Q117" s="12" t="str">
        <f aca="false">IF($M117="","",IF(COUNTIFS('QC listings'!$A$5:$A$200,$M117,'QC listings'!$C$5:$C$200,Q$4,'QC listings'!$F$5:$F$200,"Listing page")+COUNTIFS('QC listings'!$A$5:$A$200,$M117,'QC listings'!$C$5:$C$200,Q$4,'QC listings'!$F$5:$F$200,"Brand page")&gt;0,"Y",IF(COUNTIFS('QC listings'!$A$5:$A$200,$M117,'QC listings'!$C$5:$C$200,Q$4)&gt;0,"?","–")))</f>
        <v/>
      </c>
      <c r="R117" s="12" t="str">
        <f aca="false">IF($M117="","",IF(COUNTIFS('QC listings'!$A$5:$A$200,$M117,'QC listings'!$C$5:$C$200,R$4,'QC listings'!$F$5:$F$200,"Listing page")+COUNTIFS('QC listings'!$A$5:$A$200,$M117,'QC listings'!$C$5:$C$200,R$4,'QC listings'!$F$5:$F$200,"Brand page")&gt;0,"Y",IF(COUNTIFS('QC listings'!$A$5:$A$200,$M117,'QC listings'!$C$5:$C$200,R$4)&gt;0,"?","–")))</f>
        <v/>
      </c>
      <c r="S117" s="12" t="str">
        <f aca="false">IF($M117="","",COUNTIF(O117:R117,"Y"))</f>
        <v/>
      </c>
      <c r="T117" s="23" t="str">
        <f aca="false">IF($M117="","",SUMPRODUCT(MAX(('QC listings'!$A$5:$A$200=$M117)*'QC listings'!$E$5:$E$200)))</f>
        <v/>
      </c>
      <c r="U117" s="12" t="str">
        <f aca="false">IF($M117="","",IF(T117&gt;=Scoring!$B$11,3,IF(T117&gt;=Scoring!$B$10,2,IF(T117&gt;=Scoring!$B$9,1,0))))</f>
        <v/>
      </c>
      <c r="V117" s="12" t="n">
        <f aca="false">IFERROR(INDEX(Scoring!$B$27:$B$56,MATCH($E117,Scoring!$A$27:$A$56,0)),0)</f>
        <v>0</v>
      </c>
      <c r="W117" s="24" t="n">
        <f aca="false">IF($G117="","",ROUND((Scoring!$B$5-$G117)/30.4375,1))</f>
        <v>17.7</v>
      </c>
      <c r="X117" s="12" t="n">
        <f aca="false">IF($F117="Expired",Scoring!$B$18,IF($G117="",Scoring!$B$17,IF(W117&lt;=Scoring!$B$12,Scoring!$B$13,IF(W117&lt;=Scoring!$B$14,Scoring!$B$15,Scoring!$B$16))))</f>
        <v>1</v>
      </c>
      <c r="Y117" s="15" t="str">
        <f aca="false">IF($M117="","",ROUND((S117*Scoring!$B$6+U117*Scoring!$B$7)*IFERROR(INDEX(Scoring!$B$22:$B$24,MATCH($N117,Scoring!$A$22:$A$24,0)),1)+V117*Scoring!$B$8+X117,2))</f>
        <v/>
      </c>
      <c r="Z117" s="12" t="str">
        <f aca="false">IF($M117="","",IF(SUMPRODUCT(($M$5:$M$249=$M117)*($G$5:$G$249&gt;$G117))&gt;0,0,IF(SUMPRODUCT(($M$5:$M$249=$M117)*($G$5:$G$249=$G117)*(ROW($M$5:$M$249)&lt;ROW($M117)))&gt;0,0,1)))</f>
        <v/>
      </c>
      <c r="AA117" s="12" t="str">
        <f aca="false">IF($Z117=1,RANK($AE117,$AE$5:$AE$249,0),"")</f>
        <v/>
      </c>
      <c r="AB117" s="7" t="s">
        <v>153</v>
      </c>
      <c r="AC117" s="6" t="s">
        <v>162</v>
      </c>
      <c r="AD117" s="6" t="s">
        <v>729</v>
      </c>
      <c r="AE117" s="25" t="str">
        <f aca="false">IF($Z117=1,$Y117+$T117/1000000000-ROW()/10000000,"")</f>
        <v/>
      </c>
    </row>
    <row r="118" customFormat="false" ht="23.85" hidden="false" customHeight="false" outlineLevel="0" collapsed="false">
      <c r="A118" s="7" t="s">
        <v>730</v>
      </c>
      <c r="B118" s="6" t="s">
        <v>313</v>
      </c>
      <c r="C118" s="6" t="s">
        <v>724</v>
      </c>
      <c r="D118" s="7" t="s">
        <v>145</v>
      </c>
      <c r="E118" s="7" t="s">
        <v>724</v>
      </c>
      <c r="F118" s="12" t="s">
        <v>725</v>
      </c>
      <c r="G118" s="13" t="n">
        <v>45752</v>
      </c>
      <c r="H118" s="7" t="s">
        <v>731</v>
      </c>
      <c r="I118" s="6" t="s">
        <v>149</v>
      </c>
      <c r="J118" s="7" t="s">
        <v>727</v>
      </c>
      <c r="K118" s="12"/>
      <c r="L118" s="10" t="s">
        <v>732</v>
      </c>
      <c r="M118" s="7" t="s">
        <v>733</v>
      </c>
      <c r="N118" s="12" t="s">
        <v>152</v>
      </c>
      <c r="O118" s="12" t="str">
        <f aca="false">IF($M118="","",IF(COUNTIFS('QC listings'!$A$5:$A$200,$M118,'QC listings'!$C$5:$C$200,O$4,'QC listings'!$F$5:$F$200,"Listing page")+COUNTIFS('QC listings'!$A$5:$A$200,$M118,'QC listings'!$C$5:$C$200,O$4,'QC listings'!$F$5:$F$200,"Brand page")&gt;0,"Y",IF(COUNTIFS('QC listings'!$A$5:$A$200,$M118,'QC listings'!$C$5:$C$200,O$4)&gt;0,"?","–")))</f>
        <v>?</v>
      </c>
      <c r="P118" s="12" t="str">
        <f aca="false">IF($M118="","",IF(COUNTIFS('QC listings'!$A$5:$A$200,$M118,'QC listings'!$C$5:$C$200,P$4,'QC listings'!$F$5:$F$200,"Listing page")+COUNTIFS('QC listings'!$A$5:$A$200,$M118,'QC listings'!$C$5:$C$200,P$4,'QC listings'!$F$5:$F$200,"Brand page")&gt;0,"Y",IF(COUNTIFS('QC listings'!$A$5:$A$200,$M118,'QC listings'!$C$5:$C$200,P$4)&gt;0,"?","–")))</f>
        <v>Y</v>
      </c>
      <c r="Q118" s="12" t="str">
        <f aca="false">IF($M118="","",IF(COUNTIFS('QC listings'!$A$5:$A$200,$M118,'QC listings'!$C$5:$C$200,Q$4,'QC listings'!$F$5:$F$200,"Listing page")+COUNTIFS('QC listings'!$A$5:$A$200,$M118,'QC listings'!$C$5:$C$200,Q$4,'QC listings'!$F$5:$F$200,"Brand page")&gt;0,"Y",IF(COUNTIFS('QC listings'!$A$5:$A$200,$M118,'QC listings'!$C$5:$C$200,Q$4)&gt;0,"?","–")))</f>
        <v>–</v>
      </c>
      <c r="R118" s="12" t="str">
        <f aca="false">IF($M118="","",IF(COUNTIFS('QC listings'!$A$5:$A$200,$M118,'QC listings'!$C$5:$C$200,R$4,'QC listings'!$F$5:$F$200,"Listing page")+COUNTIFS('QC listings'!$A$5:$A$200,$M118,'QC listings'!$C$5:$C$200,R$4,'QC listings'!$F$5:$F$200,"Brand page")&gt;0,"Y",IF(COUNTIFS('QC listings'!$A$5:$A$200,$M118,'QC listings'!$C$5:$C$200,R$4)&gt;0,"?","–")))</f>
        <v>–</v>
      </c>
      <c r="S118" s="12" t="n">
        <f aca="false">IF($M118="","",COUNTIF(O118:R118,"Y"))</f>
        <v>1</v>
      </c>
      <c r="T118" s="23" t="n">
        <f aca="false">IF($M118="","",SUMPRODUCT(MAX(('QC listings'!$A$5:$A$200=$M118)*'QC listings'!$E$5:$E$200)))</f>
        <v>6200</v>
      </c>
      <c r="U118" s="12" t="n">
        <f aca="false">IF($M118="","",IF(T118&gt;=Scoring!$B$11,3,IF(T118&gt;=Scoring!$B$10,2,IF(T118&gt;=Scoring!$B$9,1,0))))</f>
        <v>1</v>
      </c>
      <c r="V118" s="12" t="n">
        <f aca="false">IFERROR(INDEX(Scoring!$B$27:$B$56,MATCH($E118,Scoring!$A$27:$A$56,0)),0)</f>
        <v>0</v>
      </c>
      <c r="W118" s="24" t="n">
        <f aca="false">IF($G118="","",ROUND((Scoring!$B$5-$G118)/30.4375,1))</f>
        <v>17.9</v>
      </c>
      <c r="X118" s="12" t="n">
        <f aca="false">IF($F118="Expired",Scoring!$B$18,IF($G118="",Scoring!$B$17,IF(W118&lt;=Scoring!$B$12,Scoring!$B$13,IF(W118&lt;=Scoring!$B$14,Scoring!$B$15,Scoring!$B$16))))</f>
        <v>1</v>
      </c>
      <c r="Y118" s="15" t="n">
        <f aca="false">IF($M118="","",ROUND((S118*Scoring!$B$6+U118*Scoring!$B$7)*IFERROR(INDEX(Scoring!$B$22:$B$24,MATCH($N118,Scoring!$A$22:$A$24,0)),1)+V118*Scoring!$B$8+X118,2))</f>
        <v>4</v>
      </c>
      <c r="Z118" s="12" t="n">
        <f aca="false">IF($M118="","",IF(SUMPRODUCT(($M$5:$M$249=$M118)*($G$5:$G$249&gt;$G118))&gt;0,0,IF(SUMPRODUCT(($M$5:$M$249=$M118)*($G$5:$G$249=$G118)*(ROW($M$5:$M$249)&lt;ROW($M118)))&gt;0,0,1)))</f>
        <v>1</v>
      </c>
      <c r="AA118" s="12" t="n">
        <f aca="false">IF($Z118=1,RANK($AE118,$AE$5:$AE$249,0),"")</f>
        <v>26</v>
      </c>
      <c r="AB118" s="7" t="s">
        <v>153</v>
      </c>
      <c r="AC118" s="6" t="s">
        <v>162</v>
      </c>
      <c r="AD118" s="6" t="s">
        <v>734</v>
      </c>
      <c r="AE118" s="25" t="n">
        <f aca="false">IF($Z118=1,$Y118+$T118/1000000000-ROW()/10000000,"")</f>
        <v>3.9999944</v>
      </c>
    </row>
    <row r="119" customFormat="false" ht="23.85" hidden="false" customHeight="false" outlineLevel="0" collapsed="false">
      <c r="A119" s="7" t="s">
        <v>735</v>
      </c>
      <c r="B119" s="6" t="s">
        <v>502</v>
      </c>
      <c r="C119" s="6" t="s">
        <v>736</v>
      </c>
      <c r="D119" s="7" t="s">
        <v>145</v>
      </c>
      <c r="E119" s="7" t="s">
        <v>724</v>
      </c>
      <c r="F119" s="12" t="s">
        <v>725</v>
      </c>
      <c r="G119" s="13" t="n">
        <v>45734</v>
      </c>
      <c r="H119" s="7" t="s">
        <v>737</v>
      </c>
      <c r="I119" s="6" t="s">
        <v>149</v>
      </c>
      <c r="J119" s="7" t="s">
        <v>727</v>
      </c>
      <c r="K119" s="12"/>
      <c r="L119" s="10" t="s">
        <v>738</v>
      </c>
      <c r="M119" s="7" t="s">
        <v>739</v>
      </c>
      <c r="N119" s="12" t="s">
        <v>284</v>
      </c>
      <c r="O119" s="12" t="str">
        <f aca="false">IF($M119="","",IF(COUNTIFS('QC listings'!$A$5:$A$200,$M119,'QC listings'!$C$5:$C$200,O$4,'QC listings'!$F$5:$F$200,"Listing page")+COUNTIFS('QC listings'!$A$5:$A$200,$M119,'QC listings'!$C$5:$C$200,O$4,'QC listings'!$F$5:$F$200,"Brand page")&gt;0,"Y",IF(COUNTIFS('QC listings'!$A$5:$A$200,$M119,'QC listings'!$C$5:$C$200,O$4)&gt;0,"?","–")))</f>
        <v>Y</v>
      </c>
      <c r="P119" s="12" t="str">
        <f aca="false">IF($M119="","",IF(COUNTIFS('QC listings'!$A$5:$A$200,$M119,'QC listings'!$C$5:$C$200,P$4,'QC listings'!$F$5:$F$200,"Listing page")+COUNTIFS('QC listings'!$A$5:$A$200,$M119,'QC listings'!$C$5:$C$200,P$4,'QC listings'!$F$5:$F$200,"Brand page")&gt;0,"Y",IF(COUNTIFS('QC listings'!$A$5:$A$200,$M119,'QC listings'!$C$5:$C$200,P$4)&gt;0,"?","–")))</f>
        <v>Y</v>
      </c>
      <c r="Q119" s="12" t="str">
        <f aca="false">IF($M119="","",IF(COUNTIFS('QC listings'!$A$5:$A$200,$M119,'QC listings'!$C$5:$C$200,Q$4,'QC listings'!$F$5:$F$200,"Listing page")+COUNTIFS('QC listings'!$A$5:$A$200,$M119,'QC listings'!$C$5:$C$200,Q$4,'QC listings'!$F$5:$F$200,"Brand page")&gt;0,"Y",IF(COUNTIFS('QC listings'!$A$5:$A$200,$M119,'QC listings'!$C$5:$C$200,Q$4)&gt;0,"?","–")))</f>
        <v>–</v>
      </c>
      <c r="R119" s="12" t="str">
        <f aca="false">IF($M119="","",IF(COUNTIFS('QC listings'!$A$5:$A$200,$M119,'QC listings'!$C$5:$C$200,R$4,'QC listings'!$F$5:$F$200,"Listing page")+COUNTIFS('QC listings'!$A$5:$A$200,$M119,'QC listings'!$C$5:$C$200,R$4,'QC listings'!$F$5:$F$200,"Brand page")&gt;0,"Y",IF(COUNTIFS('QC listings'!$A$5:$A$200,$M119,'QC listings'!$C$5:$C$200,R$4)&gt;0,"?","–")))</f>
        <v>–</v>
      </c>
      <c r="S119" s="12" t="n">
        <f aca="false">IF($M119="","",COUNTIF(O119:R119,"Y"))</f>
        <v>2</v>
      </c>
      <c r="T119" s="23" t="n">
        <f aca="false">IF($M119="","",SUMPRODUCT(MAX(('QC listings'!$A$5:$A$200=$M119)*'QC listings'!$E$5:$E$200)))</f>
        <v>6143</v>
      </c>
      <c r="U119" s="12" t="n">
        <f aca="false">IF($M119="","",IF(T119&gt;=Scoring!$B$11,3,IF(T119&gt;=Scoring!$B$10,2,IF(T119&gt;=Scoring!$B$9,1,0))))</f>
        <v>1</v>
      </c>
      <c r="V119" s="12" t="n">
        <f aca="false">IFERROR(INDEX(Scoring!$B$27:$B$56,MATCH($E119,Scoring!$A$27:$A$56,0)),0)</f>
        <v>0</v>
      </c>
      <c r="W119" s="24" t="n">
        <f aca="false">IF($G119="","",ROUND((Scoring!$B$5-$G119)/30.4375,1))</f>
        <v>18.5</v>
      </c>
      <c r="X119" s="12" t="n">
        <f aca="false">IF($F119="Expired",Scoring!$B$18,IF($G119="",Scoring!$B$17,IF(W119&lt;=Scoring!$B$12,Scoring!$B$13,IF(W119&lt;=Scoring!$B$14,Scoring!$B$15,Scoring!$B$16))))</f>
        <v>1</v>
      </c>
      <c r="Y119" s="15" t="n">
        <f aca="false">IF($M119="","",ROUND((S119*Scoring!$B$6+U119*Scoring!$B$7)*IFERROR(INDEX(Scoring!$B$22:$B$24,MATCH($N119,Scoring!$A$22:$A$24,0)),1)+V119*Scoring!$B$8+X119,2))</f>
        <v>3</v>
      </c>
      <c r="Z119" s="12" t="n">
        <f aca="false">IF($M119="","",IF(SUMPRODUCT(($M$5:$M$249=$M119)*($G$5:$G$249&gt;$G119))&gt;0,0,IF(SUMPRODUCT(($M$5:$M$249=$M119)*($G$5:$G$249=$G119)*(ROW($M$5:$M$249)&lt;ROW($M119)))&gt;0,0,1)))</f>
        <v>1</v>
      </c>
      <c r="AA119" s="12" t="n">
        <f aca="false">IF($Z119=1,RANK($AE119,$AE$5:$AE$249,0),"")</f>
        <v>29</v>
      </c>
      <c r="AB119" s="7" t="s">
        <v>153</v>
      </c>
      <c r="AC119" s="6" t="s">
        <v>162</v>
      </c>
      <c r="AD119" s="6" t="s">
        <v>740</v>
      </c>
      <c r="AE119" s="25" t="n">
        <f aca="false">IF($Z119=1,$Y119+$T119/1000000000-ROW()/10000000,"")</f>
        <v>2.999994243</v>
      </c>
    </row>
    <row r="120" customFormat="false" ht="23.85" hidden="false" customHeight="false" outlineLevel="0" collapsed="false">
      <c r="A120" s="7" t="s">
        <v>741</v>
      </c>
      <c r="B120" s="6" t="s">
        <v>502</v>
      </c>
      <c r="C120" s="6" t="s">
        <v>742</v>
      </c>
      <c r="D120" s="7" t="s">
        <v>145</v>
      </c>
      <c r="E120" s="7" t="s">
        <v>724</v>
      </c>
      <c r="F120" s="12" t="s">
        <v>725</v>
      </c>
      <c r="G120" s="13" t="n">
        <v>45734</v>
      </c>
      <c r="H120" s="7" t="s">
        <v>743</v>
      </c>
      <c r="I120" s="6" t="s">
        <v>149</v>
      </c>
      <c r="J120" s="7" t="s">
        <v>727</v>
      </c>
      <c r="K120" s="12"/>
      <c r="L120" s="10" t="s">
        <v>744</v>
      </c>
      <c r="M120" s="7" t="s">
        <v>739</v>
      </c>
      <c r="N120" s="12" t="s">
        <v>284</v>
      </c>
      <c r="O120" s="12" t="str">
        <f aca="false">IF($M120="","",IF(COUNTIFS('QC listings'!$A$5:$A$200,$M120,'QC listings'!$C$5:$C$200,O$4,'QC listings'!$F$5:$F$200,"Listing page")+COUNTIFS('QC listings'!$A$5:$A$200,$M120,'QC listings'!$C$5:$C$200,O$4,'QC listings'!$F$5:$F$200,"Brand page")&gt;0,"Y",IF(COUNTIFS('QC listings'!$A$5:$A$200,$M120,'QC listings'!$C$5:$C$200,O$4)&gt;0,"?","–")))</f>
        <v>Y</v>
      </c>
      <c r="P120" s="12" t="str">
        <f aca="false">IF($M120="","",IF(COUNTIFS('QC listings'!$A$5:$A$200,$M120,'QC listings'!$C$5:$C$200,P$4,'QC listings'!$F$5:$F$200,"Listing page")+COUNTIFS('QC listings'!$A$5:$A$200,$M120,'QC listings'!$C$5:$C$200,P$4,'QC listings'!$F$5:$F$200,"Brand page")&gt;0,"Y",IF(COUNTIFS('QC listings'!$A$5:$A$200,$M120,'QC listings'!$C$5:$C$200,P$4)&gt;0,"?","–")))</f>
        <v>Y</v>
      </c>
      <c r="Q120" s="12" t="str">
        <f aca="false">IF($M120="","",IF(COUNTIFS('QC listings'!$A$5:$A$200,$M120,'QC listings'!$C$5:$C$200,Q$4,'QC listings'!$F$5:$F$200,"Listing page")+COUNTIFS('QC listings'!$A$5:$A$200,$M120,'QC listings'!$C$5:$C$200,Q$4,'QC listings'!$F$5:$F$200,"Brand page")&gt;0,"Y",IF(COUNTIFS('QC listings'!$A$5:$A$200,$M120,'QC listings'!$C$5:$C$200,Q$4)&gt;0,"?","–")))</f>
        <v>–</v>
      </c>
      <c r="R120" s="12" t="str">
        <f aca="false">IF($M120="","",IF(COUNTIFS('QC listings'!$A$5:$A$200,$M120,'QC listings'!$C$5:$C$200,R$4,'QC listings'!$F$5:$F$200,"Listing page")+COUNTIFS('QC listings'!$A$5:$A$200,$M120,'QC listings'!$C$5:$C$200,R$4,'QC listings'!$F$5:$F$200,"Brand page")&gt;0,"Y",IF(COUNTIFS('QC listings'!$A$5:$A$200,$M120,'QC listings'!$C$5:$C$200,R$4)&gt;0,"?","–")))</f>
        <v>–</v>
      </c>
      <c r="S120" s="12" t="n">
        <f aca="false">IF($M120="","",COUNTIF(O120:R120,"Y"))</f>
        <v>2</v>
      </c>
      <c r="T120" s="23" t="n">
        <f aca="false">IF($M120="","",SUMPRODUCT(MAX(('QC listings'!$A$5:$A$200=$M120)*'QC listings'!$E$5:$E$200)))</f>
        <v>6143</v>
      </c>
      <c r="U120" s="12" t="n">
        <f aca="false">IF($M120="","",IF(T120&gt;=Scoring!$B$11,3,IF(T120&gt;=Scoring!$B$10,2,IF(T120&gt;=Scoring!$B$9,1,0))))</f>
        <v>1</v>
      </c>
      <c r="V120" s="12" t="n">
        <f aca="false">IFERROR(INDEX(Scoring!$B$27:$B$56,MATCH($E120,Scoring!$A$27:$A$56,0)),0)</f>
        <v>0</v>
      </c>
      <c r="W120" s="24" t="n">
        <f aca="false">IF($G120="","",ROUND((Scoring!$B$5-$G120)/30.4375,1))</f>
        <v>18.5</v>
      </c>
      <c r="X120" s="12" t="n">
        <f aca="false">IF($F120="Expired",Scoring!$B$18,IF($G120="",Scoring!$B$17,IF(W120&lt;=Scoring!$B$12,Scoring!$B$13,IF(W120&lt;=Scoring!$B$14,Scoring!$B$15,Scoring!$B$16))))</f>
        <v>1</v>
      </c>
      <c r="Y120" s="15" t="n">
        <f aca="false">IF($M120="","",ROUND((S120*Scoring!$B$6+U120*Scoring!$B$7)*IFERROR(INDEX(Scoring!$B$22:$B$24,MATCH($N120,Scoring!$A$22:$A$24,0)),1)+V120*Scoring!$B$8+X120,2))</f>
        <v>3</v>
      </c>
      <c r="Z120" s="12" t="n">
        <f aca="false">IF($M120="","",IF(SUMPRODUCT(($M$5:$M$249=$M120)*($G$5:$G$249&gt;$G120))&gt;0,0,IF(SUMPRODUCT(($M$5:$M$249=$M120)*($G$5:$G$249=$G120)*(ROW($M$5:$M$249)&lt;ROW($M120)))&gt;0,0,1)))</f>
        <v>0</v>
      </c>
      <c r="AA120" s="12" t="str">
        <f aca="false">IF($Z120=1,RANK($AE120,$AE$5:$AE$249,0),"")</f>
        <v/>
      </c>
      <c r="AB120" s="7" t="s">
        <v>153</v>
      </c>
      <c r="AC120" s="6" t="s">
        <v>162</v>
      </c>
      <c r="AD120" s="6" t="s">
        <v>740</v>
      </c>
      <c r="AE120" s="25" t="str">
        <f aca="false">IF($Z120=1,$Y120+$T120/1000000000-ROW()/10000000,"")</f>
        <v/>
      </c>
    </row>
    <row r="121" customFormat="false" ht="23.85" hidden="false" customHeight="false" outlineLevel="0" collapsed="false">
      <c r="A121" s="7" t="s">
        <v>745</v>
      </c>
      <c r="B121" s="6" t="s">
        <v>746</v>
      </c>
      <c r="C121" s="6" t="s">
        <v>724</v>
      </c>
      <c r="D121" s="7" t="s">
        <v>145</v>
      </c>
      <c r="E121" s="7" t="s">
        <v>724</v>
      </c>
      <c r="F121" s="12" t="s">
        <v>725</v>
      </c>
      <c r="G121" s="13" t="n">
        <v>46003</v>
      </c>
      <c r="H121" s="7" t="s">
        <v>747</v>
      </c>
      <c r="I121" s="6" t="s">
        <v>149</v>
      </c>
      <c r="J121" s="7" t="s">
        <v>727</v>
      </c>
      <c r="K121" s="12"/>
      <c r="L121" s="10" t="s">
        <v>748</v>
      </c>
      <c r="M121" s="7"/>
      <c r="N121" s="12"/>
      <c r="O121" s="12" t="str">
        <f aca="false">IF($M121="","",IF(COUNTIFS('QC listings'!$A$5:$A$200,$M121,'QC listings'!$C$5:$C$200,O$4,'QC listings'!$F$5:$F$200,"Listing page")+COUNTIFS('QC listings'!$A$5:$A$200,$M121,'QC listings'!$C$5:$C$200,O$4,'QC listings'!$F$5:$F$200,"Brand page")&gt;0,"Y",IF(COUNTIFS('QC listings'!$A$5:$A$200,$M121,'QC listings'!$C$5:$C$200,O$4)&gt;0,"?","–")))</f>
        <v/>
      </c>
      <c r="P121" s="12" t="str">
        <f aca="false">IF($M121="","",IF(COUNTIFS('QC listings'!$A$5:$A$200,$M121,'QC listings'!$C$5:$C$200,P$4,'QC listings'!$F$5:$F$200,"Listing page")+COUNTIFS('QC listings'!$A$5:$A$200,$M121,'QC listings'!$C$5:$C$200,P$4,'QC listings'!$F$5:$F$200,"Brand page")&gt;0,"Y",IF(COUNTIFS('QC listings'!$A$5:$A$200,$M121,'QC listings'!$C$5:$C$200,P$4)&gt;0,"?","–")))</f>
        <v/>
      </c>
      <c r="Q121" s="12" t="str">
        <f aca="false">IF($M121="","",IF(COUNTIFS('QC listings'!$A$5:$A$200,$M121,'QC listings'!$C$5:$C$200,Q$4,'QC listings'!$F$5:$F$200,"Listing page")+COUNTIFS('QC listings'!$A$5:$A$200,$M121,'QC listings'!$C$5:$C$200,Q$4,'QC listings'!$F$5:$F$200,"Brand page")&gt;0,"Y",IF(COUNTIFS('QC listings'!$A$5:$A$200,$M121,'QC listings'!$C$5:$C$200,Q$4)&gt;0,"?","–")))</f>
        <v/>
      </c>
      <c r="R121" s="12" t="str">
        <f aca="false">IF($M121="","",IF(COUNTIFS('QC listings'!$A$5:$A$200,$M121,'QC listings'!$C$5:$C$200,R$4,'QC listings'!$F$5:$F$200,"Listing page")+COUNTIFS('QC listings'!$A$5:$A$200,$M121,'QC listings'!$C$5:$C$200,R$4,'QC listings'!$F$5:$F$200,"Brand page")&gt;0,"Y",IF(COUNTIFS('QC listings'!$A$5:$A$200,$M121,'QC listings'!$C$5:$C$200,R$4)&gt;0,"?","–")))</f>
        <v/>
      </c>
      <c r="S121" s="12" t="str">
        <f aca="false">IF($M121="","",COUNTIF(O121:R121,"Y"))</f>
        <v/>
      </c>
      <c r="T121" s="23" t="str">
        <f aca="false">IF($M121="","",SUMPRODUCT(MAX(('QC listings'!$A$5:$A$200=$M121)*'QC listings'!$E$5:$E$200)))</f>
        <v/>
      </c>
      <c r="U121" s="12" t="str">
        <f aca="false">IF($M121="","",IF(T121&gt;=Scoring!$B$11,3,IF(T121&gt;=Scoring!$B$10,2,IF(T121&gt;=Scoring!$B$9,1,0))))</f>
        <v/>
      </c>
      <c r="V121" s="12" t="n">
        <f aca="false">IFERROR(INDEX(Scoring!$B$27:$B$56,MATCH($E121,Scoring!$A$27:$A$56,0)),0)</f>
        <v>0</v>
      </c>
      <c r="W121" s="24" t="n">
        <f aca="false">IF($G121="","",ROUND((Scoring!$B$5-$G121)/30.4375,1))</f>
        <v>9.7</v>
      </c>
      <c r="X121" s="12" t="n">
        <f aca="false">IF($F121="Expired",Scoring!$B$18,IF($G121="",Scoring!$B$17,IF(W121&lt;=Scoring!$B$12,Scoring!$B$13,IF(W121&lt;=Scoring!$B$14,Scoring!$B$15,Scoring!$B$16))))</f>
        <v>2</v>
      </c>
      <c r="Y121" s="15" t="str">
        <f aca="false">IF($M121="","",ROUND((S121*Scoring!$B$6+U121*Scoring!$B$7)*IFERROR(INDEX(Scoring!$B$22:$B$24,MATCH($N121,Scoring!$A$22:$A$24,0)),1)+V121*Scoring!$B$8+X121,2))</f>
        <v/>
      </c>
      <c r="Z121" s="12" t="str">
        <f aca="false">IF($M121="","",IF(SUMPRODUCT(($M$5:$M$249=$M121)*($G$5:$G$249&gt;$G121))&gt;0,0,IF(SUMPRODUCT(($M$5:$M$249=$M121)*($G$5:$G$249=$G121)*(ROW($M$5:$M$249)&lt;ROW($M121)))&gt;0,0,1)))</f>
        <v/>
      </c>
      <c r="AA121" s="12" t="str">
        <f aca="false">IF($Z121=1,RANK($AE121,$AE$5:$AE$249,0),"")</f>
        <v/>
      </c>
      <c r="AB121" s="7" t="s">
        <v>153</v>
      </c>
      <c r="AC121" s="6" t="s">
        <v>162</v>
      </c>
      <c r="AD121" s="6" t="s">
        <v>729</v>
      </c>
      <c r="AE121" s="25" t="str">
        <f aca="false">IF($Z121=1,$Y121+$T121/1000000000-ROW()/10000000,"")</f>
        <v/>
      </c>
    </row>
    <row r="122" customFormat="false" ht="23.85" hidden="false" customHeight="false" outlineLevel="0" collapsed="false">
      <c r="A122" s="7" t="s">
        <v>749</v>
      </c>
      <c r="B122" s="6" t="s">
        <v>750</v>
      </c>
      <c r="C122" s="6" t="s">
        <v>751</v>
      </c>
      <c r="D122" s="7" t="s">
        <v>145</v>
      </c>
      <c r="E122" s="7" t="s">
        <v>724</v>
      </c>
      <c r="F122" s="12" t="s">
        <v>725</v>
      </c>
      <c r="G122" s="13" t="n">
        <v>45302</v>
      </c>
      <c r="H122" s="7" t="s">
        <v>752</v>
      </c>
      <c r="I122" s="6" t="s">
        <v>149</v>
      </c>
      <c r="J122" s="7" t="s">
        <v>727</v>
      </c>
      <c r="K122" s="12"/>
      <c r="L122" s="10" t="s">
        <v>753</v>
      </c>
      <c r="M122" s="7"/>
      <c r="N122" s="12"/>
      <c r="O122" s="12" t="str">
        <f aca="false">IF($M122="","",IF(COUNTIFS('QC listings'!$A$5:$A$200,$M122,'QC listings'!$C$5:$C$200,O$4,'QC listings'!$F$5:$F$200,"Listing page")+COUNTIFS('QC listings'!$A$5:$A$200,$M122,'QC listings'!$C$5:$C$200,O$4,'QC listings'!$F$5:$F$200,"Brand page")&gt;0,"Y",IF(COUNTIFS('QC listings'!$A$5:$A$200,$M122,'QC listings'!$C$5:$C$200,O$4)&gt;0,"?","–")))</f>
        <v/>
      </c>
      <c r="P122" s="12" t="str">
        <f aca="false">IF($M122="","",IF(COUNTIFS('QC listings'!$A$5:$A$200,$M122,'QC listings'!$C$5:$C$200,P$4,'QC listings'!$F$5:$F$200,"Listing page")+COUNTIFS('QC listings'!$A$5:$A$200,$M122,'QC listings'!$C$5:$C$200,P$4,'QC listings'!$F$5:$F$200,"Brand page")&gt;0,"Y",IF(COUNTIFS('QC listings'!$A$5:$A$200,$M122,'QC listings'!$C$5:$C$200,P$4)&gt;0,"?","–")))</f>
        <v/>
      </c>
      <c r="Q122" s="12" t="str">
        <f aca="false">IF($M122="","",IF(COUNTIFS('QC listings'!$A$5:$A$200,$M122,'QC listings'!$C$5:$C$200,Q$4,'QC listings'!$F$5:$F$200,"Listing page")+COUNTIFS('QC listings'!$A$5:$A$200,$M122,'QC listings'!$C$5:$C$200,Q$4,'QC listings'!$F$5:$F$200,"Brand page")&gt;0,"Y",IF(COUNTIFS('QC listings'!$A$5:$A$200,$M122,'QC listings'!$C$5:$C$200,Q$4)&gt;0,"?","–")))</f>
        <v/>
      </c>
      <c r="R122" s="12" t="str">
        <f aca="false">IF($M122="","",IF(COUNTIFS('QC listings'!$A$5:$A$200,$M122,'QC listings'!$C$5:$C$200,R$4,'QC listings'!$F$5:$F$200,"Listing page")+COUNTIFS('QC listings'!$A$5:$A$200,$M122,'QC listings'!$C$5:$C$200,R$4,'QC listings'!$F$5:$F$200,"Brand page")&gt;0,"Y",IF(COUNTIFS('QC listings'!$A$5:$A$200,$M122,'QC listings'!$C$5:$C$200,R$4)&gt;0,"?","–")))</f>
        <v/>
      </c>
      <c r="S122" s="12" t="str">
        <f aca="false">IF($M122="","",COUNTIF(O122:R122,"Y"))</f>
        <v/>
      </c>
      <c r="T122" s="23" t="str">
        <f aca="false">IF($M122="","",SUMPRODUCT(MAX(('QC listings'!$A$5:$A$200=$M122)*'QC listings'!$E$5:$E$200)))</f>
        <v/>
      </c>
      <c r="U122" s="12" t="str">
        <f aca="false">IF($M122="","",IF(T122&gt;=Scoring!$B$11,3,IF(T122&gt;=Scoring!$B$10,2,IF(T122&gt;=Scoring!$B$9,1,0))))</f>
        <v/>
      </c>
      <c r="V122" s="12" t="n">
        <f aca="false">IFERROR(INDEX(Scoring!$B$27:$B$56,MATCH($E122,Scoring!$A$27:$A$56,0)),0)</f>
        <v>0</v>
      </c>
      <c r="W122" s="24" t="n">
        <f aca="false">IF($G122="","",ROUND((Scoring!$B$5-$G122)/30.4375,1))</f>
        <v>32.7</v>
      </c>
      <c r="X122" s="12" t="n">
        <f aca="false">IF($F122="Expired",Scoring!$B$18,IF($G122="",Scoring!$B$17,IF(W122&lt;=Scoring!$B$12,Scoring!$B$13,IF(W122&lt;=Scoring!$B$14,Scoring!$B$15,Scoring!$B$16))))</f>
        <v>0</v>
      </c>
      <c r="Y122" s="15" t="str">
        <f aca="false">IF($M122="","",ROUND((S122*Scoring!$B$6+U122*Scoring!$B$7)*IFERROR(INDEX(Scoring!$B$22:$B$24,MATCH($N122,Scoring!$A$22:$A$24,0)),1)+V122*Scoring!$B$8+X122,2))</f>
        <v/>
      </c>
      <c r="Z122" s="12" t="str">
        <f aca="false">IF($M122="","",IF(SUMPRODUCT(($M$5:$M$249=$M122)*($G$5:$G$249&gt;$G122))&gt;0,0,IF(SUMPRODUCT(($M$5:$M$249=$M122)*($G$5:$G$249=$G122)*(ROW($M$5:$M$249)&lt;ROW($M122)))&gt;0,0,1)))</f>
        <v/>
      </c>
      <c r="AA122" s="12" t="str">
        <f aca="false">IF($Z122=1,RANK($AE122,$AE$5:$AE$249,0),"")</f>
        <v/>
      </c>
      <c r="AB122" s="7" t="s">
        <v>153</v>
      </c>
      <c r="AC122" s="6" t="s">
        <v>162</v>
      </c>
      <c r="AD122" s="6" t="s">
        <v>729</v>
      </c>
      <c r="AE122" s="25" t="str">
        <f aca="false">IF($Z122=1,$Y122+$T122/1000000000-ROW()/10000000,"")</f>
        <v/>
      </c>
    </row>
    <row r="123" customFormat="false" ht="23.85" hidden="false" customHeight="false" outlineLevel="0" collapsed="false">
      <c r="A123" s="7" t="s">
        <v>754</v>
      </c>
      <c r="B123" s="6" t="s">
        <v>755</v>
      </c>
      <c r="C123" s="6" t="s">
        <v>756</v>
      </c>
      <c r="D123" s="7" t="s">
        <v>757</v>
      </c>
      <c r="E123" s="7" t="s">
        <v>758</v>
      </c>
      <c r="F123" s="12" t="s">
        <v>222</v>
      </c>
      <c r="G123" s="13"/>
      <c r="H123" s="7"/>
      <c r="I123" s="6" t="s">
        <v>202</v>
      </c>
      <c r="J123" s="7" t="s">
        <v>203</v>
      </c>
      <c r="K123" s="12" t="s">
        <v>556</v>
      </c>
      <c r="L123" s="10" t="s">
        <v>759</v>
      </c>
      <c r="M123" s="7"/>
      <c r="N123" s="12"/>
      <c r="O123" s="12" t="str">
        <f aca="false">IF($M123="","",IF(COUNTIFS('QC listings'!$A$5:$A$200,$M123,'QC listings'!$C$5:$C$200,O$4,'QC listings'!$F$5:$F$200,"Listing page")+COUNTIFS('QC listings'!$A$5:$A$200,$M123,'QC listings'!$C$5:$C$200,O$4,'QC listings'!$F$5:$F$200,"Brand page")&gt;0,"Y",IF(COUNTIFS('QC listings'!$A$5:$A$200,$M123,'QC listings'!$C$5:$C$200,O$4)&gt;0,"?","–")))</f>
        <v/>
      </c>
      <c r="P123" s="12" t="str">
        <f aca="false">IF($M123="","",IF(COUNTIFS('QC listings'!$A$5:$A$200,$M123,'QC listings'!$C$5:$C$200,P$4,'QC listings'!$F$5:$F$200,"Listing page")+COUNTIFS('QC listings'!$A$5:$A$200,$M123,'QC listings'!$C$5:$C$200,P$4,'QC listings'!$F$5:$F$200,"Brand page")&gt;0,"Y",IF(COUNTIFS('QC listings'!$A$5:$A$200,$M123,'QC listings'!$C$5:$C$200,P$4)&gt;0,"?","–")))</f>
        <v/>
      </c>
      <c r="Q123" s="12" t="str">
        <f aca="false">IF($M123="","",IF(COUNTIFS('QC listings'!$A$5:$A$200,$M123,'QC listings'!$C$5:$C$200,Q$4,'QC listings'!$F$5:$F$200,"Listing page")+COUNTIFS('QC listings'!$A$5:$A$200,$M123,'QC listings'!$C$5:$C$200,Q$4,'QC listings'!$F$5:$F$200,"Brand page")&gt;0,"Y",IF(COUNTIFS('QC listings'!$A$5:$A$200,$M123,'QC listings'!$C$5:$C$200,Q$4)&gt;0,"?","–")))</f>
        <v/>
      </c>
      <c r="R123" s="12" t="str">
        <f aca="false">IF($M123="","",IF(COUNTIFS('QC listings'!$A$5:$A$200,$M123,'QC listings'!$C$5:$C$200,R$4,'QC listings'!$F$5:$F$200,"Listing page")+COUNTIFS('QC listings'!$A$5:$A$200,$M123,'QC listings'!$C$5:$C$200,R$4,'QC listings'!$F$5:$F$200,"Brand page")&gt;0,"Y",IF(COUNTIFS('QC listings'!$A$5:$A$200,$M123,'QC listings'!$C$5:$C$200,R$4)&gt;0,"?","–")))</f>
        <v/>
      </c>
      <c r="S123" s="12" t="str">
        <f aca="false">IF($M123="","",COUNTIF(O123:R123,"Y"))</f>
        <v/>
      </c>
      <c r="T123" s="23" t="str">
        <f aca="false">IF($M123="","",SUMPRODUCT(MAX(('QC listings'!$A$5:$A$200=$M123)*'QC listings'!$E$5:$E$200)))</f>
        <v/>
      </c>
      <c r="U123" s="12" t="str">
        <f aca="false">IF($M123="","",IF(T123&gt;=Scoring!$B$11,3,IF(T123&gt;=Scoring!$B$10,2,IF(T123&gt;=Scoring!$B$9,1,0))))</f>
        <v/>
      </c>
      <c r="V123" s="12" t="n">
        <f aca="false">IFERROR(INDEX(Scoring!$B$27:$B$56,MATCH($E123,Scoring!$A$27:$A$56,0)),0)</f>
        <v>0</v>
      </c>
      <c r="W123" s="24" t="str">
        <f aca="false">IF($G123="","",ROUND((Scoring!$B$5-$G123)/30.4375,1))</f>
        <v/>
      </c>
      <c r="X123" s="12" t="n">
        <f aca="false">IF($F123="Expired",Scoring!$B$18,IF($G123="",Scoring!$B$17,IF(W123&lt;=Scoring!$B$12,Scoring!$B$13,IF(W123&lt;=Scoring!$B$14,Scoring!$B$15,Scoring!$B$16))))</f>
        <v>1</v>
      </c>
      <c r="Y123" s="15" t="str">
        <f aca="false">IF($M123="","",ROUND((S123*Scoring!$B$6+U123*Scoring!$B$7)*IFERROR(INDEX(Scoring!$B$22:$B$24,MATCH($N123,Scoring!$A$22:$A$24,0)),1)+V123*Scoring!$B$8+X123,2))</f>
        <v/>
      </c>
      <c r="Z123" s="12" t="str">
        <f aca="false">IF($M123="","",IF(SUMPRODUCT(($M$5:$M$249=$M123)*($G$5:$G$249&gt;$G123))&gt;0,0,IF(SUMPRODUCT(($M$5:$M$249=$M123)*($G$5:$G$249=$G123)*(ROW($M$5:$M$249)&lt;ROW($M123)))&gt;0,0,1)))</f>
        <v/>
      </c>
      <c r="AA123" s="12" t="str">
        <f aca="false">IF($Z123=1,RANK($AE123,$AE$5:$AE$249,0),"")</f>
        <v/>
      </c>
      <c r="AB123" s="7" t="s">
        <v>205</v>
      </c>
      <c r="AC123" s="6" t="s">
        <v>206</v>
      </c>
      <c r="AD123" s="6"/>
      <c r="AE123" s="25" t="str">
        <f aca="false">IF($Z123=1,$Y123+$T123/1000000000-ROW()/10000000,"")</f>
        <v/>
      </c>
    </row>
    <row r="124" customFormat="false" ht="23.85" hidden="false" customHeight="false" outlineLevel="0" collapsed="false">
      <c r="A124" s="7" t="s">
        <v>760</v>
      </c>
      <c r="B124" s="6" t="s">
        <v>761</v>
      </c>
      <c r="C124" s="6" t="s">
        <v>762</v>
      </c>
      <c r="D124" s="7" t="s">
        <v>757</v>
      </c>
      <c r="E124" s="7" t="s">
        <v>758</v>
      </c>
      <c r="F124" s="12" t="s">
        <v>549</v>
      </c>
      <c r="G124" s="13"/>
      <c r="H124" s="7"/>
      <c r="I124" s="6" t="s">
        <v>202</v>
      </c>
      <c r="J124" s="7" t="s">
        <v>203</v>
      </c>
      <c r="K124" s="12" t="s">
        <v>569</v>
      </c>
      <c r="L124" s="10" t="s">
        <v>763</v>
      </c>
      <c r="M124" s="7"/>
      <c r="N124" s="12"/>
      <c r="O124" s="12" t="str">
        <f aca="false">IF($M124="","",IF(COUNTIFS('QC listings'!$A$5:$A$200,$M124,'QC listings'!$C$5:$C$200,O$4,'QC listings'!$F$5:$F$200,"Listing page")+COUNTIFS('QC listings'!$A$5:$A$200,$M124,'QC listings'!$C$5:$C$200,O$4,'QC listings'!$F$5:$F$200,"Brand page")&gt;0,"Y",IF(COUNTIFS('QC listings'!$A$5:$A$200,$M124,'QC listings'!$C$5:$C$200,O$4)&gt;0,"?","–")))</f>
        <v/>
      </c>
      <c r="P124" s="12" t="str">
        <f aca="false">IF($M124="","",IF(COUNTIFS('QC listings'!$A$5:$A$200,$M124,'QC listings'!$C$5:$C$200,P$4,'QC listings'!$F$5:$F$200,"Listing page")+COUNTIFS('QC listings'!$A$5:$A$200,$M124,'QC listings'!$C$5:$C$200,P$4,'QC listings'!$F$5:$F$200,"Brand page")&gt;0,"Y",IF(COUNTIFS('QC listings'!$A$5:$A$200,$M124,'QC listings'!$C$5:$C$200,P$4)&gt;0,"?","–")))</f>
        <v/>
      </c>
      <c r="Q124" s="12" t="str">
        <f aca="false">IF($M124="","",IF(COUNTIFS('QC listings'!$A$5:$A$200,$M124,'QC listings'!$C$5:$C$200,Q$4,'QC listings'!$F$5:$F$200,"Listing page")+COUNTIFS('QC listings'!$A$5:$A$200,$M124,'QC listings'!$C$5:$C$200,Q$4,'QC listings'!$F$5:$F$200,"Brand page")&gt;0,"Y",IF(COUNTIFS('QC listings'!$A$5:$A$200,$M124,'QC listings'!$C$5:$C$200,Q$4)&gt;0,"?","–")))</f>
        <v/>
      </c>
      <c r="R124" s="12" t="str">
        <f aca="false">IF($M124="","",IF(COUNTIFS('QC listings'!$A$5:$A$200,$M124,'QC listings'!$C$5:$C$200,R$4,'QC listings'!$F$5:$F$200,"Listing page")+COUNTIFS('QC listings'!$A$5:$A$200,$M124,'QC listings'!$C$5:$C$200,R$4,'QC listings'!$F$5:$F$200,"Brand page")&gt;0,"Y",IF(COUNTIFS('QC listings'!$A$5:$A$200,$M124,'QC listings'!$C$5:$C$200,R$4)&gt;0,"?","–")))</f>
        <v/>
      </c>
      <c r="S124" s="12" t="str">
        <f aca="false">IF($M124="","",COUNTIF(O124:R124,"Y"))</f>
        <v/>
      </c>
      <c r="T124" s="23" t="str">
        <f aca="false">IF($M124="","",SUMPRODUCT(MAX(('QC listings'!$A$5:$A$200=$M124)*'QC listings'!$E$5:$E$200)))</f>
        <v/>
      </c>
      <c r="U124" s="12" t="str">
        <f aca="false">IF($M124="","",IF(T124&gt;=Scoring!$B$11,3,IF(T124&gt;=Scoring!$B$10,2,IF(T124&gt;=Scoring!$B$9,1,0))))</f>
        <v/>
      </c>
      <c r="V124" s="12" t="n">
        <f aca="false">IFERROR(INDEX(Scoring!$B$27:$B$56,MATCH($E124,Scoring!$A$27:$A$56,0)),0)</f>
        <v>0</v>
      </c>
      <c r="W124" s="24" t="str">
        <f aca="false">IF($G124="","",ROUND((Scoring!$B$5-$G124)/30.4375,1))</f>
        <v/>
      </c>
      <c r="X124" s="12" t="n">
        <f aca="false">IF($F124="Expired",Scoring!$B$18,IF($G124="",Scoring!$B$17,IF(W124&lt;=Scoring!$B$12,Scoring!$B$13,IF(W124&lt;=Scoring!$B$14,Scoring!$B$15,Scoring!$B$16))))</f>
        <v>0</v>
      </c>
      <c r="Y124" s="15" t="str">
        <f aca="false">IF($M124="","",ROUND((S124*Scoring!$B$6+U124*Scoring!$B$7)*IFERROR(INDEX(Scoring!$B$22:$B$24,MATCH($N124,Scoring!$A$22:$A$24,0)),1)+V124*Scoring!$B$8+X124,2))</f>
        <v/>
      </c>
      <c r="Z124" s="12" t="str">
        <f aca="false">IF($M124="","",IF(SUMPRODUCT(($M$5:$M$249=$M124)*($G$5:$G$249&gt;$G124))&gt;0,0,IF(SUMPRODUCT(($M$5:$M$249=$M124)*($G$5:$G$249=$G124)*(ROW($M$5:$M$249)&lt;ROW($M124)))&gt;0,0,1)))</f>
        <v/>
      </c>
      <c r="AA124" s="12" t="str">
        <f aca="false">IF($Z124=1,RANK($AE124,$AE$5:$AE$249,0),"")</f>
        <v/>
      </c>
      <c r="AB124" s="7" t="s">
        <v>205</v>
      </c>
      <c r="AC124" s="6" t="s">
        <v>206</v>
      </c>
      <c r="AD124" s="6" t="s">
        <v>552</v>
      </c>
      <c r="AE124" s="25" t="str">
        <f aca="false">IF($Z124=1,$Y124+$T124/1000000000-ROW()/10000000,"")</f>
        <v/>
      </c>
    </row>
    <row r="125" customFormat="false" ht="23.85" hidden="false" customHeight="false" outlineLevel="0" collapsed="false">
      <c r="A125" s="7" t="s">
        <v>764</v>
      </c>
      <c r="B125" s="6" t="s">
        <v>674</v>
      </c>
      <c r="C125" s="6" t="s">
        <v>765</v>
      </c>
      <c r="D125" s="7" t="s">
        <v>757</v>
      </c>
      <c r="E125" s="7" t="s">
        <v>758</v>
      </c>
      <c r="F125" s="12" t="s">
        <v>549</v>
      </c>
      <c r="G125" s="13"/>
      <c r="H125" s="7"/>
      <c r="I125" s="6" t="s">
        <v>202</v>
      </c>
      <c r="J125" s="7" t="s">
        <v>203</v>
      </c>
      <c r="K125" s="12" t="s">
        <v>556</v>
      </c>
      <c r="L125" s="10" t="s">
        <v>766</v>
      </c>
      <c r="M125" s="7"/>
      <c r="N125" s="12"/>
      <c r="O125" s="12" t="str">
        <f aca="false">IF($M125="","",IF(COUNTIFS('QC listings'!$A$5:$A$200,$M125,'QC listings'!$C$5:$C$200,O$4,'QC listings'!$F$5:$F$200,"Listing page")+COUNTIFS('QC listings'!$A$5:$A$200,$M125,'QC listings'!$C$5:$C$200,O$4,'QC listings'!$F$5:$F$200,"Brand page")&gt;0,"Y",IF(COUNTIFS('QC listings'!$A$5:$A$200,$M125,'QC listings'!$C$5:$C$200,O$4)&gt;0,"?","–")))</f>
        <v/>
      </c>
      <c r="P125" s="12" t="str">
        <f aca="false">IF($M125="","",IF(COUNTIFS('QC listings'!$A$5:$A$200,$M125,'QC listings'!$C$5:$C$200,P$4,'QC listings'!$F$5:$F$200,"Listing page")+COUNTIFS('QC listings'!$A$5:$A$200,$M125,'QC listings'!$C$5:$C$200,P$4,'QC listings'!$F$5:$F$200,"Brand page")&gt;0,"Y",IF(COUNTIFS('QC listings'!$A$5:$A$200,$M125,'QC listings'!$C$5:$C$200,P$4)&gt;0,"?","–")))</f>
        <v/>
      </c>
      <c r="Q125" s="12" t="str">
        <f aca="false">IF($M125="","",IF(COUNTIFS('QC listings'!$A$5:$A$200,$M125,'QC listings'!$C$5:$C$200,Q$4,'QC listings'!$F$5:$F$200,"Listing page")+COUNTIFS('QC listings'!$A$5:$A$200,$M125,'QC listings'!$C$5:$C$200,Q$4,'QC listings'!$F$5:$F$200,"Brand page")&gt;0,"Y",IF(COUNTIFS('QC listings'!$A$5:$A$200,$M125,'QC listings'!$C$5:$C$200,Q$4)&gt;0,"?","–")))</f>
        <v/>
      </c>
      <c r="R125" s="12" t="str">
        <f aca="false">IF($M125="","",IF(COUNTIFS('QC listings'!$A$5:$A$200,$M125,'QC listings'!$C$5:$C$200,R$4,'QC listings'!$F$5:$F$200,"Listing page")+COUNTIFS('QC listings'!$A$5:$A$200,$M125,'QC listings'!$C$5:$C$200,R$4,'QC listings'!$F$5:$F$200,"Brand page")&gt;0,"Y",IF(COUNTIFS('QC listings'!$A$5:$A$200,$M125,'QC listings'!$C$5:$C$200,R$4)&gt;0,"?","–")))</f>
        <v/>
      </c>
      <c r="S125" s="12" t="str">
        <f aca="false">IF($M125="","",COUNTIF(O125:R125,"Y"))</f>
        <v/>
      </c>
      <c r="T125" s="23" t="str">
        <f aca="false">IF($M125="","",SUMPRODUCT(MAX(('QC listings'!$A$5:$A$200=$M125)*'QC listings'!$E$5:$E$200)))</f>
        <v/>
      </c>
      <c r="U125" s="12" t="str">
        <f aca="false">IF($M125="","",IF(T125&gt;=Scoring!$B$11,3,IF(T125&gt;=Scoring!$B$10,2,IF(T125&gt;=Scoring!$B$9,1,0))))</f>
        <v/>
      </c>
      <c r="V125" s="12" t="n">
        <f aca="false">IFERROR(INDEX(Scoring!$B$27:$B$56,MATCH($E125,Scoring!$A$27:$A$56,0)),0)</f>
        <v>0</v>
      </c>
      <c r="W125" s="24" t="str">
        <f aca="false">IF($G125="","",ROUND((Scoring!$B$5-$G125)/30.4375,1))</f>
        <v/>
      </c>
      <c r="X125" s="12" t="n">
        <f aca="false">IF($F125="Expired",Scoring!$B$18,IF($G125="",Scoring!$B$17,IF(W125&lt;=Scoring!$B$12,Scoring!$B$13,IF(W125&lt;=Scoring!$B$14,Scoring!$B$15,Scoring!$B$16))))</f>
        <v>0</v>
      </c>
      <c r="Y125" s="15" t="str">
        <f aca="false">IF($M125="","",ROUND((S125*Scoring!$B$6+U125*Scoring!$B$7)*IFERROR(INDEX(Scoring!$B$22:$B$24,MATCH($N125,Scoring!$A$22:$A$24,0)),1)+V125*Scoring!$B$8+X125,2))</f>
        <v/>
      </c>
      <c r="Z125" s="12" t="str">
        <f aca="false">IF($M125="","",IF(SUMPRODUCT(($M$5:$M$249=$M125)*($G$5:$G$249&gt;$G125))&gt;0,0,IF(SUMPRODUCT(($M$5:$M$249=$M125)*($G$5:$G$249=$G125)*(ROW($M$5:$M$249)&lt;ROW($M125)))&gt;0,0,1)))</f>
        <v/>
      </c>
      <c r="AA125" s="12" t="str">
        <f aca="false">IF($Z125=1,RANK($AE125,$AE$5:$AE$249,0),"")</f>
        <v/>
      </c>
      <c r="AB125" s="7" t="s">
        <v>205</v>
      </c>
      <c r="AC125" s="6" t="s">
        <v>206</v>
      </c>
      <c r="AD125" s="6" t="s">
        <v>552</v>
      </c>
      <c r="AE125" s="25" t="str">
        <f aca="false">IF($Z125=1,$Y125+$T125/1000000000-ROW()/10000000,"")</f>
        <v/>
      </c>
    </row>
    <row r="126" customFormat="false" ht="23.85" hidden="false" customHeight="false" outlineLevel="0" collapsed="false">
      <c r="A126" s="7" t="s">
        <v>767</v>
      </c>
      <c r="B126" s="6" t="s">
        <v>227</v>
      </c>
      <c r="C126" s="6" t="s">
        <v>768</v>
      </c>
      <c r="D126" s="7" t="s">
        <v>757</v>
      </c>
      <c r="E126" s="7" t="s">
        <v>758</v>
      </c>
      <c r="F126" s="12" t="s">
        <v>549</v>
      </c>
      <c r="G126" s="13" t="n">
        <v>45154</v>
      </c>
      <c r="H126" s="7" t="s">
        <v>769</v>
      </c>
      <c r="I126" s="6" t="s">
        <v>149</v>
      </c>
      <c r="J126" s="7" t="s">
        <v>60</v>
      </c>
      <c r="K126" s="12"/>
      <c r="L126" s="10" t="s">
        <v>770</v>
      </c>
      <c r="M126" s="7"/>
      <c r="N126" s="12"/>
      <c r="O126" s="12" t="str">
        <f aca="false">IF($M126="","",IF(COUNTIFS('QC listings'!$A$5:$A$200,$M126,'QC listings'!$C$5:$C$200,O$4,'QC listings'!$F$5:$F$200,"Listing page")+COUNTIFS('QC listings'!$A$5:$A$200,$M126,'QC listings'!$C$5:$C$200,O$4,'QC listings'!$F$5:$F$200,"Brand page")&gt;0,"Y",IF(COUNTIFS('QC listings'!$A$5:$A$200,$M126,'QC listings'!$C$5:$C$200,O$4)&gt;0,"?","–")))</f>
        <v/>
      </c>
      <c r="P126" s="12" t="str">
        <f aca="false">IF($M126="","",IF(COUNTIFS('QC listings'!$A$5:$A$200,$M126,'QC listings'!$C$5:$C$200,P$4,'QC listings'!$F$5:$F$200,"Listing page")+COUNTIFS('QC listings'!$A$5:$A$200,$M126,'QC listings'!$C$5:$C$200,P$4,'QC listings'!$F$5:$F$200,"Brand page")&gt;0,"Y",IF(COUNTIFS('QC listings'!$A$5:$A$200,$M126,'QC listings'!$C$5:$C$200,P$4)&gt;0,"?","–")))</f>
        <v/>
      </c>
      <c r="Q126" s="12" t="str">
        <f aca="false">IF($M126="","",IF(COUNTIFS('QC listings'!$A$5:$A$200,$M126,'QC listings'!$C$5:$C$200,Q$4,'QC listings'!$F$5:$F$200,"Listing page")+COUNTIFS('QC listings'!$A$5:$A$200,$M126,'QC listings'!$C$5:$C$200,Q$4,'QC listings'!$F$5:$F$200,"Brand page")&gt;0,"Y",IF(COUNTIFS('QC listings'!$A$5:$A$200,$M126,'QC listings'!$C$5:$C$200,Q$4)&gt;0,"?","–")))</f>
        <v/>
      </c>
      <c r="R126" s="12" t="str">
        <f aca="false">IF($M126="","",IF(COUNTIFS('QC listings'!$A$5:$A$200,$M126,'QC listings'!$C$5:$C$200,R$4,'QC listings'!$F$5:$F$200,"Listing page")+COUNTIFS('QC listings'!$A$5:$A$200,$M126,'QC listings'!$C$5:$C$200,R$4,'QC listings'!$F$5:$F$200,"Brand page")&gt;0,"Y",IF(COUNTIFS('QC listings'!$A$5:$A$200,$M126,'QC listings'!$C$5:$C$200,R$4)&gt;0,"?","–")))</f>
        <v/>
      </c>
      <c r="S126" s="12" t="str">
        <f aca="false">IF($M126="","",COUNTIF(O126:R126,"Y"))</f>
        <v/>
      </c>
      <c r="T126" s="23" t="str">
        <f aca="false">IF($M126="","",SUMPRODUCT(MAX(('QC listings'!$A$5:$A$200=$M126)*'QC listings'!$E$5:$E$200)))</f>
        <v/>
      </c>
      <c r="U126" s="12" t="str">
        <f aca="false">IF($M126="","",IF(T126&gt;=Scoring!$B$11,3,IF(T126&gt;=Scoring!$B$10,2,IF(T126&gt;=Scoring!$B$9,1,0))))</f>
        <v/>
      </c>
      <c r="V126" s="12" t="n">
        <f aca="false">IFERROR(INDEX(Scoring!$B$27:$B$56,MATCH($E126,Scoring!$A$27:$A$56,0)),0)</f>
        <v>0</v>
      </c>
      <c r="W126" s="24" t="n">
        <f aca="false">IF($G126="","",ROUND((Scoring!$B$5-$G126)/30.4375,1))</f>
        <v>37.6</v>
      </c>
      <c r="X126" s="12" t="n">
        <f aca="false">IF($F126="Expired",Scoring!$B$18,IF($G126="",Scoring!$B$17,IF(W126&lt;=Scoring!$B$12,Scoring!$B$13,IF(W126&lt;=Scoring!$B$14,Scoring!$B$15,Scoring!$B$16))))</f>
        <v>0</v>
      </c>
      <c r="Y126" s="15" t="str">
        <f aca="false">IF($M126="","",ROUND((S126*Scoring!$B$6+U126*Scoring!$B$7)*IFERROR(INDEX(Scoring!$B$22:$B$24,MATCH($N126,Scoring!$A$22:$A$24,0)),1)+V126*Scoring!$B$8+X126,2))</f>
        <v/>
      </c>
      <c r="Z126" s="12" t="str">
        <f aca="false">IF($M126="","",IF(SUMPRODUCT(($M$5:$M$249=$M126)*($G$5:$G$249&gt;$G126))&gt;0,0,IF(SUMPRODUCT(($M$5:$M$249=$M126)*($G$5:$G$249=$G126)*(ROW($M$5:$M$249)&lt;ROW($M126)))&gt;0,0,1)))</f>
        <v/>
      </c>
      <c r="AA126" s="12" t="str">
        <f aca="false">IF($Z126=1,RANK($AE126,$AE$5:$AE$249,0),"")</f>
        <v/>
      </c>
      <c r="AB126" s="7" t="s">
        <v>153</v>
      </c>
      <c r="AC126" s="6" t="s">
        <v>642</v>
      </c>
      <c r="AD126" s="6" t="s">
        <v>659</v>
      </c>
      <c r="AE126" s="25" t="str">
        <f aca="false">IF($Z126=1,$Y126+$T126/1000000000-ROW()/10000000,"")</f>
        <v/>
      </c>
    </row>
    <row r="127" customFormat="false" ht="23.85" hidden="false" customHeight="false" outlineLevel="0" collapsed="false">
      <c r="A127" s="7" t="s">
        <v>771</v>
      </c>
      <c r="B127" s="6" t="s">
        <v>227</v>
      </c>
      <c r="C127" s="6" t="s">
        <v>772</v>
      </c>
      <c r="D127" s="7" t="s">
        <v>757</v>
      </c>
      <c r="E127" s="7" t="s">
        <v>758</v>
      </c>
      <c r="F127" s="12" t="s">
        <v>549</v>
      </c>
      <c r="G127" s="13"/>
      <c r="H127" s="7"/>
      <c r="I127" s="6" t="s">
        <v>202</v>
      </c>
      <c r="J127" s="7" t="s">
        <v>203</v>
      </c>
      <c r="K127" s="12" t="s">
        <v>556</v>
      </c>
      <c r="L127" s="10" t="s">
        <v>773</v>
      </c>
      <c r="M127" s="7"/>
      <c r="N127" s="12"/>
      <c r="O127" s="12" t="str">
        <f aca="false">IF($M127="","",IF(COUNTIFS('QC listings'!$A$5:$A$200,$M127,'QC listings'!$C$5:$C$200,O$4,'QC listings'!$F$5:$F$200,"Listing page")+COUNTIFS('QC listings'!$A$5:$A$200,$M127,'QC listings'!$C$5:$C$200,O$4,'QC listings'!$F$5:$F$200,"Brand page")&gt;0,"Y",IF(COUNTIFS('QC listings'!$A$5:$A$200,$M127,'QC listings'!$C$5:$C$200,O$4)&gt;0,"?","–")))</f>
        <v/>
      </c>
      <c r="P127" s="12" t="str">
        <f aca="false">IF($M127="","",IF(COUNTIFS('QC listings'!$A$5:$A$200,$M127,'QC listings'!$C$5:$C$200,P$4,'QC listings'!$F$5:$F$200,"Listing page")+COUNTIFS('QC listings'!$A$5:$A$200,$M127,'QC listings'!$C$5:$C$200,P$4,'QC listings'!$F$5:$F$200,"Brand page")&gt;0,"Y",IF(COUNTIFS('QC listings'!$A$5:$A$200,$M127,'QC listings'!$C$5:$C$200,P$4)&gt;0,"?","–")))</f>
        <v/>
      </c>
      <c r="Q127" s="12" t="str">
        <f aca="false">IF($M127="","",IF(COUNTIFS('QC listings'!$A$5:$A$200,$M127,'QC listings'!$C$5:$C$200,Q$4,'QC listings'!$F$5:$F$200,"Listing page")+COUNTIFS('QC listings'!$A$5:$A$200,$M127,'QC listings'!$C$5:$C$200,Q$4,'QC listings'!$F$5:$F$200,"Brand page")&gt;0,"Y",IF(COUNTIFS('QC listings'!$A$5:$A$200,$M127,'QC listings'!$C$5:$C$200,Q$4)&gt;0,"?","–")))</f>
        <v/>
      </c>
      <c r="R127" s="12" t="str">
        <f aca="false">IF($M127="","",IF(COUNTIFS('QC listings'!$A$5:$A$200,$M127,'QC listings'!$C$5:$C$200,R$4,'QC listings'!$F$5:$F$200,"Listing page")+COUNTIFS('QC listings'!$A$5:$A$200,$M127,'QC listings'!$C$5:$C$200,R$4,'QC listings'!$F$5:$F$200,"Brand page")&gt;0,"Y",IF(COUNTIFS('QC listings'!$A$5:$A$200,$M127,'QC listings'!$C$5:$C$200,R$4)&gt;0,"?","–")))</f>
        <v/>
      </c>
      <c r="S127" s="12" t="str">
        <f aca="false">IF($M127="","",COUNTIF(O127:R127,"Y"))</f>
        <v/>
      </c>
      <c r="T127" s="23" t="str">
        <f aca="false">IF($M127="","",SUMPRODUCT(MAX(('QC listings'!$A$5:$A$200=$M127)*'QC listings'!$E$5:$E$200)))</f>
        <v/>
      </c>
      <c r="U127" s="12" t="str">
        <f aca="false">IF($M127="","",IF(T127&gt;=Scoring!$B$11,3,IF(T127&gt;=Scoring!$B$10,2,IF(T127&gt;=Scoring!$B$9,1,0))))</f>
        <v/>
      </c>
      <c r="V127" s="12" t="n">
        <f aca="false">IFERROR(INDEX(Scoring!$B$27:$B$56,MATCH($E127,Scoring!$A$27:$A$56,0)),0)</f>
        <v>0</v>
      </c>
      <c r="W127" s="24" t="str">
        <f aca="false">IF($G127="","",ROUND((Scoring!$B$5-$G127)/30.4375,1))</f>
        <v/>
      </c>
      <c r="X127" s="12" t="n">
        <f aca="false">IF($F127="Expired",Scoring!$B$18,IF($G127="",Scoring!$B$17,IF(W127&lt;=Scoring!$B$12,Scoring!$B$13,IF(W127&lt;=Scoring!$B$14,Scoring!$B$15,Scoring!$B$16))))</f>
        <v>0</v>
      </c>
      <c r="Y127" s="15" t="str">
        <f aca="false">IF($M127="","",ROUND((S127*Scoring!$B$6+U127*Scoring!$B$7)*IFERROR(INDEX(Scoring!$B$22:$B$24,MATCH($N127,Scoring!$A$22:$A$24,0)),1)+V127*Scoring!$B$8+X127,2))</f>
        <v/>
      </c>
      <c r="Z127" s="12" t="str">
        <f aca="false">IF($M127="","",IF(SUMPRODUCT(($M$5:$M$249=$M127)*($G$5:$G$249&gt;$G127))&gt;0,0,IF(SUMPRODUCT(($M$5:$M$249=$M127)*($G$5:$G$249=$G127)*(ROW($M$5:$M$249)&lt;ROW($M127)))&gt;0,0,1)))</f>
        <v/>
      </c>
      <c r="AA127" s="12" t="str">
        <f aca="false">IF($Z127=1,RANK($AE127,$AE$5:$AE$249,0),"")</f>
        <v/>
      </c>
      <c r="AB127" s="7" t="s">
        <v>205</v>
      </c>
      <c r="AC127" s="6" t="s">
        <v>206</v>
      </c>
      <c r="AD127" s="6" t="s">
        <v>552</v>
      </c>
      <c r="AE127" s="25" t="str">
        <f aca="false">IF($Z127=1,$Y127+$T127/1000000000-ROW()/10000000,"")</f>
        <v/>
      </c>
    </row>
    <row r="128" customFormat="false" ht="23.85" hidden="false" customHeight="false" outlineLevel="0" collapsed="false">
      <c r="A128" s="7" t="s">
        <v>774</v>
      </c>
      <c r="B128" s="6" t="s">
        <v>236</v>
      </c>
      <c r="C128" s="6" t="s">
        <v>775</v>
      </c>
      <c r="D128" s="7" t="s">
        <v>757</v>
      </c>
      <c r="E128" s="7" t="s">
        <v>758</v>
      </c>
      <c r="F128" s="12" t="s">
        <v>222</v>
      </c>
      <c r="G128" s="13"/>
      <c r="H128" s="7"/>
      <c r="I128" s="6" t="s">
        <v>202</v>
      </c>
      <c r="J128" s="7" t="s">
        <v>203</v>
      </c>
      <c r="K128" s="12" t="s">
        <v>776</v>
      </c>
      <c r="L128" s="10" t="s">
        <v>777</v>
      </c>
      <c r="M128" s="7"/>
      <c r="N128" s="12"/>
      <c r="O128" s="12" t="str">
        <f aca="false">IF($M128="","",IF(COUNTIFS('QC listings'!$A$5:$A$200,$M128,'QC listings'!$C$5:$C$200,O$4,'QC listings'!$F$5:$F$200,"Listing page")+COUNTIFS('QC listings'!$A$5:$A$200,$M128,'QC listings'!$C$5:$C$200,O$4,'QC listings'!$F$5:$F$200,"Brand page")&gt;0,"Y",IF(COUNTIFS('QC listings'!$A$5:$A$200,$M128,'QC listings'!$C$5:$C$200,O$4)&gt;0,"?","–")))</f>
        <v/>
      </c>
      <c r="P128" s="12" t="str">
        <f aca="false">IF($M128="","",IF(COUNTIFS('QC listings'!$A$5:$A$200,$M128,'QC listings'!$C$5:$C$200,P$4,'QC listings'!$F$5:$F$200,"Listing page")+COUNTIFS('QC listings'!$A$5:$A$200,$M128,'QC listings'!$C$5:$C$200,P$4,'QC listings'!$F$5:$F$200,"Brand page")&gt;0,"Y",IF(COUNTIFS('QC listings'!$A$5:$A$200,$M128,'QC listings'!$C$5:$C$200,P$4)&gt;0,"?","–")))</f>
        <v/>
      </c>
      <c r="Q128" s="12" t="str">
        <f aca="false">IF($M128="","",IF(COUNTIFS('QC listings'!$A$5:$A$200,$M128,'QC listings'!$C$5:$C$200,Q$4,'QC listings'!$F$5:$F$200,"Listing page")+COUNTIFS('QC listings'!$A$5:$A$200,$M128,'QC listings'!$C$5:$C$200,Q$4,'QC listings'!$F$5:$F$200,"Brand page")&gt;0,"Y",IF(COUNTIFS('QC listings'!$A$5:$A$200,$M128,'QC listings'!$C$5:$C$200,Q$4)&gt;0,"?","–")))</f>
        <v/>
      </c>
      <c r="R128" s="12" t="str">
        <f aca="false">IF($M128="","",IF(COUNTIFS('QC listings'!$A$5:$A$200,$M128,'QC listings'!$C$5:$C$200,R$4,'QC listings'!$F$5:$F$200,"Listing page")+COUNTIFS('QC listings'!$A$5:$A$200,$M128,'QC listings'!$C$5:$C$200,R$4,'QC listings'!$F$5:$F$200,"Brand page")&gt;0,"Y",IF(COUNTIFS('QC listings'!$A$5:$A$200,$M128,'QC listings'!$C$5:$C$200,R$4)&gt;0,"?","–")))</f>
        <v/>
      </c>
      <c r="S128" s="12" t="str">
        <f aca="false">IF($M128="","",COUNTIF(O128:R128,"Y"))</f>
        <v/>
      </c>
      <c r="T128" s="23" t="str">
        <f aca="false">IF($M128="","",SUMPRODUCT(MAX(('QC listings'!$A$5:$A$200=$M128)*'QC listings'!$E$5:$E$200)))</f>
        <v/>
      </c>
      <c r="U128" s="12" t="str">
        <f aca="false">IF($M128="","",IF(T128&gt;=Scoring!$B$11,3,IF(T128&gt;=Scoring!$B$10,2,IF(T128&gt;=Scoring!$B$9,1,0))))</f>
        <v/>
      </c>
      <c r="V128" s="12" t="n">
        <f aca="false">IFERROR(INDEX(Scoring!$B$27:$B$56,MATCH($E128,Scoring!$A$27:$A$56,0)),0)</f>
        <v>0</v>
      </c>
      <c r="W128" s="24" t="str">
        <f aca="false">IF($G128="","",ROUND((Scoring!$B$5-$G128)/30.4375,1))</f>
        <v/>
      </c>
      <c r="X128" s="12" t="n">
        <f aca="false">IF($F128="Expired",Scoring!$B$18,IF($G128="",Scoring!$B$17,IF(W128&lt;=Scoring!$B$12,Scoring!$B$13,IF(W128&lt;=Scoring!$B$14,Scoring!$B$15,Scoring!$B$16))))</f>
        <v>1</v>
      </c>
      <c r="Y128" s="15" t="str">
        <f aca="false">IF($M128="","",ROUND((S128*Scoring!$B$6+U128*Scoring!$B$7)*IFERROR(INDEX(Scoring!$B$22:$B$24,MATCH($N128,Scoring!$A$22:$A$24,0)),1)+V128*Scoring!$B$8+X128,2))</f>
        <v/>
      </c>
      <c r="Z128" s="12" t="str">
        <f aca="false">IF($M128="","",IF(SUMPRODUCT(($M$5:$M$249=$M128)*($G$5:$G$249&gt;$G128))&gt;0,0,IF(SUMPRODUCT(($M$5:$M$249=$M128)*($G$5:$G$249=$G128)*(ROW($M$5:$M$249)&lt;ROW($M128)))&gt;0,0,1)))</f>
        <v/>
      </c>
      <c r="AA128" s="12" t="str">
        <f aca="false">IF($Z128=1,RANK($AE128,$AE$5:$AE$249,0),"")</f>
        <v/>
      </c>
      <c r="AB128" s="7" t="s">
        <v>205</v>
      </c>
      <c r="AC128" s="6" t="s">
        <v>206</v>
      </c>
      <c r="AD128" s="6"/>
      <c r="AE128" s="25" t="str">
        <f aca="false">IF($Z128=1,$Y128+$T128/1000000000-ROW()/10000000,"")</f>
        <v/>
      </c>
    </row>
    <row r="129" customFormat="false" ht="23.85" hidden="false" customHeight="false" outlineLevel="0" collapsed="false">
      <c r="A129" s="7" t="s">
        <v>778</v>
      </c>
      <c r="B129" s="6" t="s">
        <v>509</v>
      </c>
      <c r="C129" s="6" t="s">
        <v>779</v>
      </c>
      <c r="D129" s="7" t="s">
        <v>757</v>
      </c>
      <c r="E129" s="7" t="s">
        <v>758</v>
      </c>
      <c r="F129" s="12" t="s">
        <v>158</v>
      </c>
      <c r="G129" s="13" t="n">
        <v>45509</v>
      </c>
      <c r="H129" s="7" t="s">
        <v>780</v>
      </c>
      <c r="I129" s="6" t="s">
        <v>149</v>
      </c>
      <c r="J129" s="7" t="s">
        <v>60</v>
      </c>
      <c r="K129" s="12"/>
      <c r="L129" s="10" t="s">
        <v>781</v>
      </c>
      <c r="M129" s="7" t="s">
        <v>782</v>
      </c>
      <c r="N129" s="12" t="s">
        <v>277</v>
      </c>
      <c r="O129" s="12" t="str">
        <f aca="false">IF($M129="","",IF(COUNTIFS('QC listings'!$A$5:$A$200,$M129,'QC listings'!$C$5:$C$200,O$4,'QC listings'!$F$5:$F$200,"Listing page")+COUNTIFS('QC listings'!$A$5:$A$200,$M129,'QC listings'!$C$5:$C$200,O$4,'QC listings'!$F$5:$F$200,"Brand page")&gt;0,"Y",IF(COUNTIFS('QC listings'!$A$5:$A$200,$M129,'QC listings'!$C$5:$C$200,O$4)&gt;0,"?","–")))</f>
        <v>–</v>
      </c>
      <c r="P129" s="12" t="str">
        <f aca="false">IF($M129="","",IF(COUNTIFS('QC listings'!$A$5:$A$200,$M129,'QC listings'!$C$5:$C$200,P$4,'QC listings'!$F$5:$F$200,"Listing page")+COUNTIFS('QC listings'!$A$5:$A$200,$M129,'QC listings'!$C$5:$C$200,P$4,'QC listings'!$F$5:$F$200,"Brand page")&gt;0,"Y",IF(COUNTIFS('QC listings'!$A$5:$A$200,$M129,'QC listings'!$C$5:$C$200,P$4)&gt;0,"?","–")))</f>
        <v>Y</v>
      </c>
      <c r="Q129" s="12" t="str">
        <f aca="false">IF($M129="","",IF(COUNTIFS('QC listings'!$A$5:$A$200,$M129,'QC listings'!$C$5:$C$200,Q$4,'QC listings'!$F$5:$F$200,"Listing page")+COUNTIFS('QC listings'!$A$5:$A$200,$M129,'QC listings'!$C$5:$C$200,Q$4,'QC listings'!$F$5:$F$200,"Brand page")&gt;0,"Y",IF(COUNTIFS('QC listings'!$A$5:$A$200,$M129,'QC listings'!$C$5:$C$200,Q$4)&gt;0,"?","–")))</f>
        <v>–</v>
      </c>
      <c r="R129" s="12" t="str">
        <f aca="false">IF($M129="","",IF(COUNTIFS('QC listings'!$A$5:$A$200,$M129,'QC listings'!$C$5:$C$200,R$4,'QC listings'!$F$5:$F$200,"Listing page")+COUNTIFS('QC listings'!$A$5:$A$200,$M129,'QC listings'!$C$5:$C$200,R$4,'QC listings'!$F$5:$F$200,"Brand page")&gt;0,"Y",IF(COUNTIFS('QC listings'!$A$5:$A$200,$M129,'QC listings'!$C$5:$C$200,R$4)&gt;0,"?","–")))</f>
        <v>–</v>
      </c>
      <c r="S129" s="12" t="n">
        <f aca="false">IF($M129="","",COUNTIF(O129:R129,"Y"))</f>
        <v>1</v>
      </c>
      <c r="T129" s="23" t="n">
        <f aca="false">IF($M129="","",SUMPRODUCT(MAX(('QC listings'!$A$5:$A$200=$M129)*'QC listings'!$E$5:$E$200)))</f>
        <v>0</v>
      </c>
      <c r="U129" s="12" t="n">
        <f aca="false">IF($M129="","",IF(T129&gt;=Scoring!$B$11,3,IF(T129&gt;=Scoring!$B$10,2,IF(T129&gt;=Scoring!$B$9,1,0))))</f>
        <v>0</v>
      </c>
      <c r="V129" s="12" t="n">
        <f aca="false">IFERROR(INDEX(Scoring!$B$27:$B$56,MATCH($E129,Scoring!$A$27:$A$56,0)),0)</f>
        <v>0</v>
      </c>
      <c r="W129" s="24" t="n">
        <f aca="false">IF($G129="","",ROUND((Scoring!$B$5-$G129)/30.4375,1))</f>
        <v>25.9</v>
      </c>
      <c r="X129" s="12" t="n">
        <f aca="false">IF($F129="Expired",Scoring!$B$18,IF($G129="",Scoring!$B$17,IF(W129&lt;=Scoring!$B$12,Scoring!$B$13,IF(W129&lt;=Scoring!$B$14,Scoring!$B$15,Scoring!$B$16))))</f>
        <v>0</v>
      </c>
      <c r="Y129" s="15" t="n">
        <f aca="false">IF($M129="","",ROUND((S129*Scoring!$B$6+U129*Scoring!$B$7)*IFERROR(INDEX(Scoring!$B$22:$B$24,MATCH($N129,Scoring!$A$22:$A$24,0)),1)+V129*Scoring!$B$8+X129,2))</f>
        <v>0.75</v>
      </c>
      <c r="Z129" s="12" t="n">
        <f aca="false">IF($M129="","",IF(SUMPRODUCT(($M$5:$M$249=$M129)*($G$5:$G$249&gt;$G129))&gt;0,0,IF(SUMPRODUCT(($M$5:$M$249=$M129)*($G$5:$G$249=$G129)*(ROW($M$5:$M$249)&lt;ROW($M129)))&gt;0,0,1)))</f>
        <v>1</v>
      </c>
      <c r="AA129" s="12" t="n">
        <f aca="false">IF($Z129=1,RANK($AE129,$AE$5:$AE$249,0),"")</f>
        <v>38</v>
      </c>
      <c r="AB129" s="7" t="s">
        <v>153</v>
      </c>
      <c r="AC129" s="6" t="s">
        <v>162</v>
      </c>
      <c r="AD129" s="6" t="s">
        <v>783</v>
      </c>
      <c r="AE129" s="25" t="n">
        <f aca="false">IF($Z129=1,$Y129+$T129/1000000000-ROW()/10000000,"")</f>
        <v>0.7499871</v>
      </c>
    </row>
    <row r="130" customFormat="false" ht="23.85" hidden="false" customHeight="false" outlineLevel="0" collapsed="false">
      <c r="A130" s="7" t="s">
        <v>784</v>
      </c>
      <c r="B130" s="6" t="s">
        <v>509</v>
      </c>
      <c r="C130" s="6" t="s">
        <v>785</v>
      </c>
      <c r="D130" s="7" t="s">
        <v>757</v>
      </c>
      <c r="E130" s="7" t="s">
        <v>758</v>
      </c>
      <c r="F130" s="12" t="s">
        <v>549</v>
      </c>
      <c r="G130" s="13"/>
      <c r="H130" s="7"/>
      <c r="I130" s="6" t="s">
        <v>202</v>
      </c>
      <c r="J130" s="7" t="s">
        <v>203</v>
      </c>
      <c r="K130" s="12" t="s">
        <v>569</v>
      </c>
      <c r="L130" s="10" t="s">
        <v>786</v>
      </c>
      <c r="M130" s="7" t="s">
        <v>782</v>
      </c>
      <c r="N130" s="12" t="s">
        <v>277</v>
      </c>
      <c r="O130" s="12" t="str">
        <f aca="false">IF($M130="","",IF(COUNTIFS('QC listings'!$A$5:$A$200,$M130,'QC listings'!$C$5:$C$200,O$4,'QC listings'!$F$5:$F$200,"Listing page")+COUNTIFS('QC listings'!$A$5:$A$200,$M130,'QC listings'!$C$5:$C$200,O$4,'QC listings'!$F$5:$F$200,"Brand page")&gt;0,"Y",IF(COUNTIFS('QC listings'!$A$5:$A$200,$M130,'QC listings'!$C$5:$C$200,O$4)&gt;0,"?","–")))</f>
        <v>–</v>
      </c>
      <c r="P130" s="12" t="str">
        <f aca="false">IF($M130="","",IF(COUNTIFS('QC listings'!$A$5:$A$200,$M130,'QC listings'!$C$5:$C$200,P$4,'QC listings'!$F$5:$F$200,"Listing page")+COUNTIFS('QC listings'!$A$5:$A$200,$M130,'QC listings'!$C$5:$C$200,P$4,'QC listings'!$F$5:$F$200,"Brand page")&gt;0,"Y",IF(COUNTIFS('QC listings'!$A$5:$A$200,$M130,'QC listings'!$C$5:$C$200,P$4)&gt;0,"?","–")))</f>
        <v>Y</v>
      </c>
      <c r="Q130" s="12" t="str">
        <f aca="false">IF($M130="","",IF(COUNTIFS('QC listings'!$A$5:$A$200,$M130,'QC listings'!$C$5:$C$200,Q$4,'QC listings'!$F$5:$F$200,"Listing page")+COUNTIFS('QC listings'!$A$5:$A$200,$M130,'QC listings'!$C$5:$C$200,Q$4,'QC listings'!$F$5:$F$200,"Brand page")&gt;0,"Y",IF(COUNTIFS('QC listings'!$A$5:$A$200,$M130,'QC listings'!$C$5:$C$200,Q$4)&gt;0,"?","–")))</f>
        <v>–</v>
      </c>
      <c r="R130" s="12" t="str">
        <f aca="false">IF($M130="","",IF(COUNTIFS('QC listings'!$A$5:$A$200,$M130,'QC listings'!$C$5:$C$200,R$4,'QC listings'!$F$5:$F$200,"Listing page")+COUNTIFS('QC listings'!$A$5:$A$200,$M130,'QC listings'!$C$5:$C$200,R$4,'QC listings'!$F$5:$F$200,"Brand page")&gt;0,"Y",IF(COUNTIFS('QC listings'!$A$5:$A$200,$M130,'QC listings'!$C$5:$C$200,R$4)&gt;0,"?","–")))</f>
        <v>–</v>
      </c>
      <c r="S130" s="12" t="n">
        <f aca="false">IF($M130="","",COUNTIF(O130:R130,"Y"))</f>
        <v>1</v>
      </c>
      <c r="T130" s="23" t="n">
        <f aca="false">IF($M130="","",SUMPRODUCT(MAX(('QC listings'!$A$5:$A$200=$M130)*'QC listings'!$E$5:$E$200)))</f>
        <v>0</v>
      </c>
      <c r="U130" s="12" t="n">
        <f aca="false">IF($M130="","",IF(T130&gt;=Scoring!$B$11,3,IF(T130&gt;=Scoring!$B$10,2,IF(T130&gt;=Scoring!$B$9,1,0))))</f>
        <v>0</v>
      </c>
      <c r="V130" s="12" t="n">
        <f aca="false">IFERROR(INDEX(Scoring!$B$27:$B$56,MATCH($E130,Scoring!$A$27:$A$56,0)),0)</f>
        <v>0</v>
      </c>
      <c r="W130" s="24" t="str">
        <f aca="false">IF($G130="","",ROUND((Scoring!$B$5-$G130)/30.4375,1))</f>
        <v/>
      </c>
      <c r="X130" s="12" t="n">
        <f aca="false">IF($F130="Expired",Scoring!$B$18,IF($G130="",Scoring!$B$17,IF(W130&lt;=Scoring!$B$12,Scoring!$B$13,IF(W130&lt;=Scoring!$B$14,Scoring!$B$15,Scoring!$B$16))))</f>
        <v>0</v>
      </c>
      <c r="Y130" s="15" t="n">
        <f aca="false">IF($M130="","",ROUND((S130*Scoring!$B$6+U130*Scoring!$B$7)*IFERROR(INDEX(Scoring!$B$22:$B$24,MATCH($N130,Scoring!$A$22:$A$24,0)),1)+V130*Scoring!$B$8+X130,2))</f>
        <v>0.75</v>
      </c>
      <c r="Z130" s="12" t="n">
        <f aca="false">IF($M130="","",IF(SUMPRODUCT(($M$5:$M$249=$M130)*($G$5:$G$249&gt;$G130))&gt;0,0,IF(SUMPRODUCT(($M$5:$M$249=$M130)*($G$5:$G$249=$G130)*(ROW($M$5:$M$249)&lt;ROW($M130)))&gt;0,0,1)))</f>
        <v>0</v>
      </c>
      <c r="AA130" s="12" t="str">
        <f aca="false">IF($Z130=1,RANK($AE130,$AE$5:$AE$249,0),"")</f>
        <v/>
      </c>
      <c r="AB130" s="7" t="s">
        <v>205</v>
      </c>
      <c r="AC130" s="6" t="s">
        <v>206</v>
      </c>
      <c r="AD130" s="6" t="s">
        <v>787</v>
      </c>
      <c r="AE130" s="25" t="str">
        <f aca="false">IF($Z130=1,$Y130+$T130/1000000000-ROW()/10000000,"")</f>
        <v/>
      </c>
    </row>
    <row r="131" customFormat="false" ht="23.85" hidden="false" customHeight="false" outlineLevel="0" collapsed="false">
      <c r="A131" s="7" t="s">
        <v>788</v>
      </c>
      <c r="B131" s="6" t="s">
        <v>509</v>
      </c>
      <c r="C131" s="6" t="s">
        <v>789</v>
      </c>
      <c r="D131" s="7" t="s">
        <v>757</v>
      </c>
      <c r="E131" s="7" t="s">
        <v>758</v>
      </c>
      <c r="F131" s="12" t="s">
        <v>222</v>
      </c>
      <c r="G131" s="13"/>
      <c r="H131" s="7"/>
      <c r="I131" s="6" t="s">
        <v>202</v>
      </c>
      <c r="J131" s="7" t="s">
        <v>203</v>
      </c>
      <c r="K131" s="12" t="s">
        <v>790</v>
      </c>
      <c r="L131" s="10" t="s">
        <v>791</v>
      </c>
      <c r="M131" s="7" t="s">
        <v>782</v>
      </c>
      <c r="N131" s="12" t="s">
        <v>277</v>
      </c>
      <c r="O131" s="12" t="str">
        <f aca="false">IF($M131="","",IF(COUNTIFS('QC listings'!$A$5:$A$200,$M131,'QC listings'!$C$5:$C$200,O$4,'QC listings'!$F$5:$F$200,"Listing page")+COUNTIFS('QC listings'!$A$5:$A$200,$M131,'QC listings'!$C$5:$C$200,O$4,'QC listings'!$F$5:$F$200,"Brand page")&gt;0,"Y",IF(COUNTIFS('QC listings'!$A$5:$A$200,$M131,'QC listings'!$C$5:$C$200,O$4)&gt;0,"?","–")))</f>
        <v>–</v>
      </c>
      <c r="P131" s="12" t="str">
        <f aca="false">IF($M131="","",IF(COUNTIFS('QC listings'!$A$5:$A$200,$M131,'QC listings'!$C$5:$C$200,P$4,'QC listings'!$F$5:$F$200,"Listing page")+COUNTIFS('QC listings'!$A$5:$A$200,$M131,'QC listings'!$C$5:$C$200,P$4,'QC listings'!$F$5:$F$200,"Brand page")&gt;0,"Y",IF(COUNTIFS('QC listings'!$A$5:$A$200,$M131,'QC listings'!$C$5:$C$200,P$4)&gt;0,"?","–")))</f>
        <v>Y</v>
      </c>
      <c r="Q131" s="12" t="str">
        <f aca="false">IF($M131="","",IF(COUNTIFS('QC listings'!$A$5:$A$200,$M131,'QC listings'!$C$5:$C$200,Q$4,'QC listings'!$F$5:$F$200,"Listing page")+COUNTIFS('QC listings'!$A$5:$A$200,$M131,'QC listings'!$C$5:$C$200,Q$4,'QC listings'!$F$5:$F$200,"Brand page")&gt;0,"Y",IF(COUNTIFS('QC listings'!$A$5:$A$200,$M131,'QC listings'!$C$5:$C$200,Q$4)&gt;0,"?","–")))</f>
        <v>–</v>
      </c>
      <c r="R131" s="12" t="str">
        <f aca="false">IF($M131="","",IF(COUNTIFS('QC listings'!$A$5:$A$200,$M131,'QC listings'!$C$5:$C$200,R$4,'QC listings'!$F$5:$F$200,"Listing page")+COUNTIFS('QC listings'!$A$5:$A$200,$M131,'QC listings'!$C$5:$C$200,R$4,'QC listings'!$F$5:$F$200,"Brand page")&gt;0,"Y",IF(COUNTIFS('QC listings'!$A$5:$A$200,$M131,'QC listings'!$C$5:$C$200,R$4)&gt;0,"?","–")))</f>
        <v>–</v>
      </c>
      <c r="S131" s="12" t="n">
        <f aca="false">IF($M131="","",COUNTIF(O131:R131,"Y"))</f>
        <v>1</v>
      </c>
      <c r="T131" s="23" t="n">
        <f aca="false">IF($M131="","",SUMPRODUCT(MAX(('QC listings'!$A$5:$A$200=$M131)*'QC listings'!$E$5:$E$200)))</f>
        <v>0</v>
      </c>
      <c r="U131" s="12" t="n">
        <f aca="false">IF($M131="","",IF(T131&gt;=Scoring!$B$11,3,IF(T131&gt;=Scoring!$B$10,2,IF(T131&gt;=Scoring!$B$9,1,0))))</f>
        <v>0</v>
      </c>
      <c r="V131" s="12" t="n">
        <f aca="false">IFERROR(INDEX(Scoring!$B$27:$B$56,MATCH($E131,Scoring!$A$27:$A$56,0)),0)</f>
        <v>0</v>
      </c>
      <c r="W131" s="24" t="str">
        <f aca="false">IF($G131="","",ROUND((Scoring!$B$5-$G131)/30.4375,1))</f>
        <v/>
      </c>
      <c r="X131" s="12" t="n">
        <f aca="false">IF($F131="Expired",Scoring!$B$18,IF($G131="",Scoring!$B$17,IF(W131&lt;=Scoring!$B$12,Scoring!$B$13,IF(W131&lt;=Scoring!$B$14,Scoring!$B$15,Scoring!$B$16))))</f>
        <v>1</v>
      </c>
      <c r="Y131" s="15" t="n">
        <f aca="false">IF($M131="","",ROUND((S131*Scoring!$B$6+U131*Scoring!$B$7)*IFERROR(INDEX(Scoring!$B$22:$B$24,MATCH($N131,Scoring!$A$22:$A$24,0)),1)+V131*Scoring!$B$8+X131,2))</f>
        <v>1.75</v>
      </c>
      <c r="Z131" s="12" t="n">
        <f aca="false">IF($M131="","",IF(SUMPRODUCT(($M$5:$M$249=$M131)*($G$5:$G$249&gt;$G131))&gt;0,0,IF(SUMPRODUCT(($M$5:$M$249=$M131)*($G$5:$G$249=$G131)*(ROW($M$5:$M$249)&lt;ROW($M131)))&gt;0,0,1)))</f>
        <v>0</v>
      </c>
      <c r="AA131" s="12" t="str">
        <f aca="false">IF($Z131=1,RANK($AE131,$AE$5:$AE$249,0),"")</f>
        <v/>
      </c>
      <c r="AB131" s="7" t="s">
        <v>205</v>
      </c>
      <c r="AC131" s="6" t="s">
        <v>206</v>
      </c>
      <c r="AD131" s="6" t="s">
        <v>783</v>
      </c>
      <c r="AE131" s="25" t="str">
        <f aca="false">IF($Z131=1,$Y131+$T131/1000000000-ROW()/10000000,"")</f>
        <v/>
      </c>
    </row>
    <row r="132" customFormat="false" ht="23.85" hidden="false" customHeight="false" outlineLevel="0" collapsed="false">
      <c r="A132" s="7" t="s">
        <v>792</v>
      </c>
      <c r="B132" s="6" t="s">
        <v>567</v>
      </c>
      <c r="C132" s="6" t="s">
        <v>793</v>
      </c>
      <c r="D132" s="7" t="s">
        <v>757</v>
      </c>
      <c r="E132" s="7" t="s">
        <v>758</v>
      </c>
      <c r="F132" s="12" t="s">
        <v>549</v>
      </c>
      <c r="G132" s="13"/>
      <c r="H132" s="7"/>
      <c r="I132" s="6" t="s">
        <v>202</v>
      </c>
      <c r="J132" s="7" t="s">
        <v>203</v>
      </c>
      <c r="K132" s="12" t="s">
        <v>794</v>
      </c>
      <c r="L132" s="10" t="s">
        <v>795</v>
      </c>
      <c r="M132" s="7" t="s">
        <v>796</v>
      </c>
      <c r="N132" s="12" t="s">
        <v>284</v>
      </c>
      <c r="O132" s="12" t="str">
        <f aca="false">IF($M132="","",IF(COUNTIFS('QC listings'!$A$5:$A$200,$M132,'QC listings'!$C$5:$C$200,O$4,'QC listings'!$F$5:$F$200,"Listing page")+COUNTIFS('QC listings'!$A$5:$A$200,$M132,'QC listings'!$C$5:$C$200,O$4,'QC listings'!$F$5:$F$200,"Brand page")&gt;0,"Y",IF(COUNTIFS('QC listings'!$A$5:$A$200,$M132,'QC listings'!$C$5:$C$200,O$4)&gt;0,"?","–")))</f>
        <v>Y</v>
      </c>
      <c r="P132" s="12" t="str">
        <f aca="false">IF($M132="","",IF(COUNTIFS('QC listings'!$A$5:$A$200,$M132,'QC listings'!$C$5:$C$200,P$4,'QC listings'!$F$5:$F$200,"Listing page")+COUNTIFS('QC listings'!$A$5:$A$200,$M132,'QC listings'!$C$5:$C$200,P$4,'QC listings'!$F$5:$F$200,"Brand page")&gt;0,"Y",IF(COUNTIFS('QC listings'!$A$5:$A$200,$M132,'QC listings'!$C$5:$C$200,P$4)&gt;0,"?","–")))</f>
        <v>Y</v>
      </c>
      <c r="Q132" s="12" t="str">
        <f aca="false">IF($M132="","",IF(COUNTIFS('QC listings'!$A$5:$A$200,$M132,'QC listings'!$C$5:$C$200,Q$4,'QC listings'!$F$5:$F$200,"Listing page")+COUNTIFS('QC listings'!$A$5:$A$200,$M132,'QC listings'!$C$5:$C$200,Q$4,'QC listings'!$F$5:$F$200,"Brand page")&gt;0,"Y",IF(COUNTIFS('QC listings'!$A$5:$A$200,$M132,'QC listings'!$C$5:$C$200,Q$4)&gt;0,"?","–")))</f>
        <v>–</v>
      </c>
      <c r="R132" s="12" t="str">
        <f aca="false">IF($M132="","",IF(COUNTIFS('QC listings'!$A$5:$A$200,$M132,'QC listings'!$C$5:$C$200,R$4,'QC listings'!$F$5:$F$200,"Listing page")+COUNTIFS('QC listings'!$A$5:$A$200,$M132,'QC listings'!$C$5:$C$200,R$4,'QC listings'!$F$5:$F$200,"Brand page")&gt;0,"Y",IF(COUNTIFS('QC listings'!$A$5:$A$200,$M132,'QC listings'!$C$5:$C$200,R$4)&gt;0,"?","–")))</f>
        <v>–</v>
      </c>
      <c r="S132" s="12" t="n">
        <f aca="false">IF($M132="","",COUNTIF(O132:R132,"Y"))</f>
        <v>2</v>
      </c>
      <c r="T132" s="23" t="n">
        <f aca="false">IF($M132="","",SUMPRODUCT(MAX(('QC listings'!$A$5:$A$200=$M132)*'QC listings'!$E$5:$E$200)))</f>
        <v>9142</v>
      </c>
      <c r="U132" s="12" t="n">
        <f aca="false">IF($M132="","",IF(T132&gt;=Scoring!$B$11,3,IF(T132&gt;=Scoring!$B$10,2,IF(T132&gt;=Scoring!$B$9,1,0))))</f>
        <v>1</v>
      </c>
      <c r="V132" s="12" t="n">
        <f aca="false">IFERROR(INDEX(Scoring!$B$27:$B$56,MATCH($E132,Scoring!$A$27:$A$56,0)),0)</f>
        <v>0</v>
      </c>
      <c r="W132" s="24" t="str">
        <f aca="false">IF($G132="","",ROUND((Scoring!$B$5-$G132)/30.4375,1))</f>
        <v/>
      </c>
      <c r="X132" s="12" t="n">
        <f aca="false">IF($F132="Expired",Scoring!$B$18,IF($G132="",Scoring!$B$17,IF(W132&lt;=Scoring!$B$12,Scoring!$B$13,IF(W132&lt;=Scoring!$B$14,Scoring!$B$15,Scoring!$B$16))))</f>
        <v>0</v>
      </c>
      <c r="Y132" s="15" t="n">
        <f aca="false">IF($M132="","",ROUND((S132*Scoring!$B$6+U132*Scoring!$B$7)*IFERROR(INDEX(Scoring!$B$22:$B$24,MATCH($N132,Scoring!$A$22:$A$24,0)),1)+V132*Scoring!$B$8+X132,2))</f>
        <v>2</v>
      </c>
      <c r="Z132" s="12" t="n">
        <f aca="false">IF($M132="","",IF(SUMPRODUCT(($M$5:$M$249=$M132)*($G$5:$G$249&gt;$G132))&gt;0,0,IF(SUMPRODUCT(($M$5:$M$249=$M132)*($G$5:$G$249=$G132)*(ROW($M$5:$M$249)&lt;ROW($M132)))&gt;0,0,1)))</f>
        <v>1</v>
      </c>
      <c r="AA132" s="12" t="n">
        <f aca="false">IF($Z132=1,RANK($AE132,$AE$5:$AE$249,0),"")</f>
        <v>31</v>
      </c>
      <c r="AB132" s="7" t="s">
        <v>205</v>
      </c>
      <c r="AC132" s="6" t="s">
        <v>206</v>
      </c>
      <c r="AD132" s="6" t="s">
        <v>797</v>
      </c>
      <c r="AE132" s="25" t="n">
        <f aca="false">IF($Z132=1,$Y132+$T132/1000000000-ROW()/10000000,"")</f>
        <v>1.999995942</v>
      </c>
    </row>
    <row r="133" customFormat="false" ht="23.85" hidden="false" customHeight="false" outlineLevel="0" collapsed="false">
      <c r="A133" s="7" t="s">
        <v>798</v>
      </c>
      <c r="B133" s="6" t="s">
        <v>799</v>
      </c>
      <c r="C133" s="6" t="s">
        <v>800</v>
      </c>
      <c r="D133" s="7" t="s">
        <v>757</v>
      </c>
      <c r="E133" s="7" t="s">
        <v>801</v>
      </c>
      <c r="F133" s="12" t="s">
        <v>147</v>
      </c>
      <c r="G133" s="13" t="n">
        <v>46129</v>
      </c>
      <c r="H133" s="7" t="s">
        <v>802</v>
      </c>
      <c r="I133" s="6" t="s">
        <v>149</v>
      </c>
      <c r="J133" s="7" t="s">
        <v>60</v>
      </c>
      <c r="K133" s="12"/>
      <c r="L133" s="10" t="s">
        <v>803</v>
      </c>
      <c r="M133" s="7"/>
      <c r="N133" s="12"/>
      <c r="O133" s="12" t="str">
        <f aca="false">IF($M133="","",IF(COUNTIFS('QC listings'!$A$5:$A$200,$M133,'QC listings'!$C$5:$C$200,O$4,'QC listings'!$F$5:$F$200,"Listing page")+COUNTIFS('QC listings'!$A$5:$A$200,$M133,'QC listings'!$C$5:$C$200,O$4,'QC listings'!$F$5:$F$200,"Brand page")&gt;0,"Y",IF(COUNTIFS('QC listings'!$A$5:$A$200,$M133,'QC listings'!$C$5:$C$200,O$4)&gt;0,"?","–")))</f>
        <v/>
      </c>
      <c r="P133" s="12" t="str">
        <f aca="false">IF($M133="","",IF(COUNTIFS('QC listings'!$A$5:$A$200,$M133,'QC listings'!$C$5:$C$200,P$4,'QC listings'!$F$5:$F$200,"Listing page")+COUNTIFS('QC listings'!$A$5:$A$200,$M133,'QC listings'!$C$5:$C$200,P$4,'QC listings'!$F$5:$F$200,"Brand page")&gt;0,"Y",IF(COUNTIFS('QC listings'!$A$5:$A$200,$M133,'QC listings'!$C$5:$C$200,P$4)&gt;0,"?","–")))</f>
        <v/>
      </c>
      <c r="Q133" s="12" t="str">
        <f aca="false">IF($M133="","",IF(COUNTIFS('QC listings'!$A$5:$A$200,$M133,'QC listings'!$C$5:$C$200,Q$4,'QC listings'!$F$5:$F$200,"Listing page")+COUNTIFS('QC listings'!$A$5:$A$200,$M133,'QC listings'!$C$5:$C$200,Q$4,'QC listings'!$F$5:$F$200,"Brand page")&gt;0,"Y",IF(COUNTIFS('QC listings'!$A$5:$A$200,$M133,'QC listings'!$C$5:$C$200,Q$4)&gt;0,"?","–")))</f>
        <v/>
      </c>
      <c r="R133" s="12" t="str">
        <f aca="false">IF($M133="","",IF(COUNTIFS('QC listings'!$A$5:$A$200,$M133,'QC listings'!$C$5:$C$200,R$4,'QC listings'!$F$5:$F$200,"Listing page")+COUNTIFS('QC listings'!$A$5:$A$200,$M133,'QC listings'!$C$5:$C$200,R$4,'QC listings'!$F$5:$F$200,"Brand page")&gt;0,"Y",IF(COUNTIFS('QC listings'!$A$5:$A$200,$M133,'QC listings'!$C$5:$C$200,R$4)&gt;0,"?","–")))</f>
        <v/>
      </c>
      <c r="S133" s="12" t="str">
        <f aca="false">IF($M133="","",COUNTIF(O133:R133,"Y"))</f>
        <v/>
      </c>
      <c r="T133" s="23" t="str">
        <f aca="false">IF($M133="","",SUMPRODUCT(MAX(('QC listings'!$A$5:$A$200=$M133)*'QC listings'!$E$5:$E$200)))</f>
        <v/>
      </c>
      <c r="U133" s="12" t="str">
        <f aca="false">IF($M133="","",IF(T133&gt;=Scoring!$B$11,3,IF(T133&gt;=Scoring!$B$10,2,IF(T133&gt;=Scoring!$B$9,1,0))))</f>
        <v/>
      </c>
      <c r="V133" s="12" t="n">
        <f aca="false">IFERROR(INDEX(Scoring!$B$27:$B$56,MATCH($E133,Scoring!$A$27:$A$56,0)),0)</f>
        <v>0</v>
      </c>
      <c r="W133" s="24" t="n">
        <f aca="false">IF($G133="","",ROUND((Scoring!$B$5-$G133)/30.4375,1))</f>
        <v>5.5</v>
      </c>
      <c r="X133" s="12" t="n">
        <f aca="false">IF($F133="Expired",Scoring!$B$18,IF($G133="",Scoring!$B$17,IF(W133&lt;=Scoring!$B$12,Scoring!$B$13,IF(W133&lt;=Scoring!$B$14,Scoring!$B$15,Scoring!$B$16))))</f>
        <v>2</v>
      </c>
      <c r="Y133" s="15" t="str">
        <f aca="false">IF($M133="","",ROUND((S133*Scoring!$B$6+U133*Scoring!$B$7)*IFERROR(INDEX(Scoring!$B$22:$B$24,MATCH($N133,Scoring!$A$22:$A$24,0)),1)+V133*Scoring!$B$8+X133,2))</f>
        <v/>
      </c>
      <c r="Z133" s="12" t="str">
        <f aca="false">IF($M133="","",IF(SUMPRODUCT(($M$5:$M$249=$M133)*($G$5:$G$249&gt;$G133))&gt;0,0,IF(SUMPRODUCT(($M$5:$M$249=$M133)*($G$5:$G$249=$G133)*(ROW($M$5:$M$249)&lt;ROW($M133)))&gt;0,0,1)))</f>
        <v/>
      </c>
      <c r="AA133" s="12" t="str">
        <f aca="false">IF($Z133=1,RANK($AE133,$AE$5:$AE$249,0),"")</f>
        <v/>
      </c>
      <c r="AB133" s="7" t="s">
        <v>153</v>
      </c>
      <c r="AC133" s="6" t="s">
        <v>154</v>
      </c>
      <c r="AD133" s="6"/>
      <c r="AE133" s="25" t="str">
        <f aca="false">IF($Z133=1,$Y133+$T133/1000000000-ROW()/10000000,"")</f>
        <v/>
      </c>
    </row>
    <row r="134" customFormat="false" ht="23.85" hidden="false" customHeight="false" outlineLevel="0" collapsed="false">
      <c r="A134" s="7" t="s">
        <v>804</v>
      </c>
      <c r="B134" s="6" t="s">
        <v>650</v>
      </c>
      <c r="C134" s="6" t="s">
        <v>805</v>
      </c>
      <c r="D134" s="7" t="s">
        <v>757</v>
      </c>
      <c r="E134" s="7" t="s">
        <v>801</v>
      </c>
      <c r="F134" s="12" t="s">
        <v>549</v>
      </c>
      <c r="G134" s="13" t="n">
        <v>45797</v>
      </c>
      <c r="H134" s="7" t="s">
        <v>806</v>
      </c>
      <c r="I134" s="6" t="s">
        <v>149</v>
      </c>
      <c r="J134" s="7" t="s">
        <v>60</v>
      </c>
      <c r="K134" s="12"/>
      <c r="L134" s="10" t="s">
        <v>807</v>
      </c>
      <c r="M134" s="7"/>
      <c r="N134" s="12"/>
      <c r="O134" s="12" t="str">
        <f aca="false">IF($M134="","",IF(COUNTIFS('QC listings'!$A$5:$A$200,$M134,'QC listings'!$C$5:$C$200,O$4,'QC listings'!$F$5:$F$200,"Listing page")+COUNTIFS('QC listings'!$A$5:$A$200,$M134,'QC listings'!$C$5:$C$200,O$4,'QC listings'!$F$5:$F$200,"Brand page")&gt;0,"Y",IF(COUNTIFS('QC listings'!$A$5:$A$200,$M134,'QC listings'!$C$5:$C$200,O$4)&gt;0,"?","–")))</f>
        <v/>
      </c>
      <c r="P134" s="12" t="str">
        <f aca="false">IF($M134="","",IF(COUNTIFS('QC listings'!$A$5:$A$200,$M134,'QC listings'!$C$5:$C$200,P$4,'QC listings'!$F$5:$F$200,"Listing page")+COUNTIFS('QC listings'!$A$5:$A$200,$M134,'QC listings'!$C$5:$C$200,P$4,'QC listings'!$F$5:$F$200,"Brand page")&gt;0,"Y",IF(COUNTIFS('QC listings'!$A$5:$A$200,$M134,'QC listings'!$C$5:$C$200,P$4)&gt;0,"?","–")))</f>
        <v/>
      </c>
      <c r="Q134" s="12" t="str">
        <f aca="false">IF($M134="","",IF(COUNTIFS('QC listings'!$A$5:$A$200,$M134,'QC listings'!$C$5:$C$200,Q$4,'QC listings'!$F$5:$F$200,"Listing page")+COUNTIFS('QC listings'!$A$5:$A$200,$M134,'QC listings'!$C$5:$C$200,Q$4,'QC listings'!$F$5:$F$200,"Brand page")&gt;0,"Y",IF(COUNTIFS('QC listings'!$A$5:$A$200,$M134,'QC listings'!$C$5:$C$200,Q$4)&gt;0,"?","–")))</f>
        <v/>
      </c>
      <c r="R134" s="12" t="str">
        <f aca="false">IF($M134="","",IF(COUNTIFS('QC listings'!$A$5:$A$200,$M134,'QC listings'!$C$5:$C$200,R$4,'QC listings'!$F$5:$F$200,"Listing page")+COUNTIFS('QC listings'!$A$5:$A$200,$M134,'QC listings'!$C$5:$C$200,R$4,'QC listings'!$F$5:$F$200,"Brand page")&gt;0,"Y",IF(COUNTIFS('QC listings'!$A$5:$A$200,$M134,'QC listings'!$C$5:$C$200,R$4)&gt;0,"?","–")))</f>
        <v/>
      </c>
      <c r="S134" s="12" t="str">
        <f aca="false">IF($M134="","",COUNTIF(O134:R134,"Y"))</f>
        <v/>
      </c>
      <c r="T134" s="23" t="str">
        <f aca="false">IF($M134="","",SUMPRODUCT(MAX(('QC listings'!$A$5:$A$200=$M134)*'QC listings'!$E$5:$E$200)))</f>
        <v/>
      </c>
      <c r="U134" s="12" t="str">
        <f aca="false">IF($M134="","",IF(T134&gt;=Scoring!$B$11,3,IF(T134&gt;=Scoring!$B$10,2,IF(T134&gt;=Scoring!$B$9,1,0))))</f>
        <v/>
      </c>
      <c r="V134" s="12" t="n">
        <f aca="false">IFERROR(INDEX(Scoring!$B$27:$B$56,MATCH($E134,Scoring!$A$27:$A$56,0)),0)</f>
        <v>0</v>
      </c>
      <c r="W134" s="24" t="n">
        <f aca="false">IF($G134="","",ROUND((Scoring!$B$5-$G134)/30.4375,1))</f>
        <v>16.4</v>
      </c>
      <c r="X134" s="12" t="n">
        <f aca="false">IF($F134="Expired",Scoring!$B$18,IF($G134="",Scoring!$B$17,IF(W134&lt;=Scoring!$B$12,Scoring!$B$13,IF(W134&lt;=Scoring!$B$14,Scoring!$B$15,Scoring!$B$16))))</f>
        <v>0</v>
      </c>
      <c r="Y134" s="15" t="str">
        <f aca="false">IF($M134="","",ROUND((S134*Scoring!$B$6+U134*Scoring!$B$7)*IFERROR(INDEX(Scoring!$B$22:$B$24,MATCH($N134,Scoring!$A$22:$A$24,0)),1)+V134*Scoring!$B$8+X134,2))</f>
        <v/>
      </c>
      <c r="Z134" s="12" t="str">
        <f aca="false">IF($M134="","",IF(SUMPRODUCT(($M$5:$M$249=$M134)*($G$5:$G$249&gt;$G134))&gt;0,0,IF(SUMPRODUCT(($M$5:$M$249=$M134)*($G$5:$G$249=$G134)*(ROW($M$5:$M$249)&lt;ROW($M134)))&gt;0,0,1)))</f>
        <v/>
      </c>
      <c r="AA134" s="12" t="str">
        <f aca="false">IF($Z134=1,RANK($AE134,$AE$5:$AE$249,0),"")</f>
        <v/>
      </c>
      <c r="AB134" s="7" t="s">
        <v>153</v>
      </c>
      <c r="AC134" s="6" t="s">
        <v>642</v>
      </c>
      <c r="AD134" s="6"/>
      <c r="AE134" s="25" t="str">
        <f aca="false">IF($Z134=1,$Y134+$T134/1000000000-ROW()/10000000,"")</f>
        <v/>
      </c>
    </row>
    <row r="135" customFormat="false" ht="23.85" hidden="false" customHeight="false" outlineLevel="0" collapsed="false">
      <c r="A135" s="7" t="s">
        <v>808</v>
      </c>
      <c r="B135" s="6" t="s">
        <v>650</v>
      </c>
      <c r="C135" s="6" t="s">
        <v>809</v>
      </c>
      <c r="D135" s="7" t="s">
        <v>757</v>
      </c>
      <c r="E135" s="7" t="s">
        <v>801</v>
      </c>
      <c r="F135" s="12" t="s">
        <v>549</v>
      </c>
      <c r="G135" s="13" t="n">
        <v>45241</v>
      </c>
      <c r="H135" s="7" t="s">
        <v>810</v>
      </c>
      <c r="I135" s="6" t="s">
        <v>149</v>
      </c>
      <c r="J135" s="7" t="s">
        <v>60</v>
      </c>
      <c r="K135" s="12"/>
      <c r="L135" s="10" t="s">
        <v>811</v>
      </c>
      <c r="M135" s="7"/>
      <c r="N135" s="12"/>
      <c r="O135" s="12" t="str">
        <f aca="false">IF($M135="","",IF(COUNTIFS('QC listings'!$A$5:$A$200,$M135,'QC listings'!$C$5:$C$200,O$4,'QC listings'!$F$5:$F$200,"Listing page")+COUNTIFS('QC listings'!$A$5:$A$200,$M135,'QC listings'!$C$5:$C$200,O$4,'QC listings'!$F$5:$F$200,"Brand page")&gt;0,"Y",IF(COUNTIFS('QC listings'!$A$5:$A$200,$M135,'QC listings'!$C$5:$C$200,O$4)&gt;0,"?","–")))</f>
        <v/>
      </c>
      <c r="P135" s="12" t="str">
        <f aca="false">IF($M135="","",IF(COUNTIFS('QC listings'!$A$5:$A$200,$M135,'QC listings'!$C$5:$C$200,P$4,'QC listings'!$F$5:$F$200,"Listing page")+COUNTIFS('QC listings'!$A$5:$A$200,$M135,'QC listings'!$C$5:$C$200,P$4,'QC listings'!$F$5:$F$200,"Brand page")&gt;0,"Y",IF(COUNTIFS('QC listings'!$A$5:$A$200,$M135,'QC listings'!$C$5:$C$200,P$4)&gt;0,"?","–")))</f>
        <v/>
      </c>
      <c r="Q135" s="12" t="str">
        <f aca="false">IF($M135="","",IF(COUNTIFS('QC listings'!$A$5:$A$200,$M135,'QC listings'!$C$5:$C$200,Q$4,'QC listings'!$F$5:$F$200,"Listing page")+COUNTIFS('QC listings'!$A$5:$A$200,$M135,'QC listings'!$C$5:$C$200,Q$4,'QC listings'!$F$5:$F$200,"Brand page")&gt;0,"Y",IF(COUNTIFS('QC listings'!$A$5:$A$200,$M135,'QC listings'!$C$5:$C$200,Q$4)&gt;0,"?","–")))</f>
        <v/>
      </c>
      <c r="R135" s="12" t="str">
        <f aca="false">IF($M135="","",IF(COUNTIFS('QC listings'!$A$5:$A$200,$M135,'QC listings'!$C$5:$C$200,R$4,'QC listings'!$F$5:$F$200,"Listing page")+COUNTIFS('QC listings'!$A$5:$A$200,$M135,'QC listings'!$C$5:$C$200,R$4,'QC listings'!$F$5:$F$200,"Brand page")&gt;0,"Y",IF(COUNTIFS('QC listings'!$A$5:$A$200,$M135,'QC listings'!$C$5:$C$200,R$4)&gt;0,"?","–")))</f>
        <v/>
      </c>
      <c r="S135" s="12" t="str">
        <f aca="false">IF($M135="","",COUNTIF(O135:R135,"Y"))</f>
        <v/>
      </c>
      <c r="T135" s="23" t="str">
        <f aca="false">IF($M135="","",SUMPRODUCT(MAX(('QC listings'!$A$5:$A$200=$M135)*'QC listings'!$E$5:$E$200)))</f>
        <v/>
      </c>
      <c r="U135" s="12" t="str">
        <f aca="false">IF($M135="","",IF(T135&gt;=Scoring!$B$11,3,IF(T135&gt;=Scoring!$B$10,2,IF(T135&gt;=Scoring!$B$9,1,0))))</f>
        <v/>
      </c>
      <c r="V135" s="12" t="n">
        <f aca="false">IFERROR(INDEX(Scoring!$B$27:$B$56,MATCH($E135,Scoring!$A$27:$A$56,0)),0)</f>
        <v>0</v>
      </c>
      <c r="W135" s="24" t="n">
        <f aca="false">IF($G135="","",ROUND((Scoring!$B$5-$G135)/30.4375,1))</f>
        <v>34.7</v>
      </c>
      <c r="X135" s="12" t="n">
        <f aca="false">IF($F135="Expired",Scoring!$B$18,IF($G135="",Scoring!$B$17,IF(W135&lt;=Scoring!$B$12,Scoring!$B$13,IF(W135&lt;=Scoring!$B$14,Scoring!$B$15,Scoring!$B$16))))</f>
        <v>0</v>
      </c>
      <c r="Y135" s="15" t="str">
        <f aca="false">IF($M135="","",ROUND((S135*Scoring!$B$6+U135*Scoring!$B$7)*IFERROR(INDEX(Scoring!$B$22:$B$24,MATCH($N135,Scoring!$A$22:$A$24,0)),1)+V135*Scoring!$B$8+X135,2))</f>
        <v/>
      </c>
      <c r="Z135" s="12" t="str">
        <f aca="false">IF($M135="","",IF(SUMPRODUCT(($M$5:$M$249=$M135)*($G$5:$G$249&gt;$G135))&gt;0,0,IF(SUMPRODUCT(($M$5:$M$249=$M135)*($G$5:$G$249=$G135)*(ROW($M$5:$M$249)&lt;ROW($M135)))&gt;0,0,1)))</f>
        <v/>
      </c>
      <c r="AA135" s="12" t="str">
        <f aca="false">IF($Z135=1,RANK($AE135,$AE$5:$AE$249,0),"")</f>
        <v/>
      </c>
      <c r="AB135" s="7" t="s">
        <v>153</v>
      </c>
      <c r="AC135" s="6" t="s">
        <v>642</v>
      </c>
      <c r="AD135" s="6"/>
      <c r="AE135" s="25" t="str">
        <f aca="false">IF($Z135=1,$Y135+$T135/1000000000-ROW()/10000000,"")</f>
        <v/>
      </c>
    </row>
    <row r="136" customFormat="false" ht="23.85" hidden="false" customHeight="false" outlineLevel="0" collapsed="false">
      <c r="A136" s="7" t="s">
        <v>812</v>
      </c>
      <c r="B136" s="6" t="s">
        <v>755</v>
      </c>
      <c r="C136" s="6" t="s">
        <v>813</v>
      </c>
      <c r="D136" s="7" t="s">
        <v>757</v>
      </c>
      <c r="E136" s="7" t="s">
        <v>801</v>
      </c>
      <c r="F136" s="12" t="s">
        <v>158</v>
      </c>
      <c r="G136" s="13" t="n">
        <v>45709</v>
      </c>
      <c r="H136" s="7" t="s">
        <v>814</v>
      </c>
      <c r="I136" s="6" t="s">
        <v>149</v>
      </c>
      <c r="J136" s="7" t="s">
        <v>60</v>
      </c>
      <c r="K136" s="12"/>
      <c r="L136" s="10" t="s">
        <v>815</v>
      </c>
      <c r="M136" s="7"/>
      <c r="N136" s="12"/>
      <c r="O136" s="12" t="str">
        <f aca="false">IF($M136="","",IF(COUNTIFS('QC listings'!$A$5:$A$200,$M136,'QC listings'!$C$5:$C$200,O$4,'QC listings'!$F$5:$F$200,"Listing page")+COUNTIFS('QC listings'!$A$5:$A$200,$M136,'QC listings'!$C$5:$C$200,O$4,'QC listings'!$F$5:$F$200,"Brand page")&gt;0,"Y",IF(COUNTIFS('QC listings'!$A$5:$A$200,$M136,'QC listings'!$C$5:$C$200,O$4)&gt;0,"?","–")))</f>
        <v/>
      </c>
      <c r="P136" s="12" t="str">
        <f aca="false">IF($M136="","",IF(COUNTIFS('QC listings'!$A$5:$A$200,$M136,'QC listings'!$C$5:$C$200,P$4,'QC listings'!$F$5:$F$200,"Listing page")+COUNTIFS('QC listings'!$A$5:$A$200,$M136,'QC listings'!$C$5:$C$200,P$4,'QC listings'!$F$5:$F$200,"Brand page")&gt;0,"Y",IF(COUNTIFS('QC listings'!$A$5:$A$200,$M136,'QC listings'!$C$5:$C$200,P$4)&gt;0,"?","–")))</f>
        <v/>
      </c>
      <c r="Q136" s="12" t="str">
        <f aca="false">IF($M136="","",IF(COUNTIFS('QC listings'!$A$5:$A$200,$M136,'QC listings'!$C$5:$C$200,Q$4,'QC listings'!$F$5:$F$200,"Listing page")+COUNTIFS('QC listings'!$A$5:$A$200,$M136,'QC listings'!$C$5:$C$200,Q$4,'QC listings'!$F$5:$F$200,"Brand page")&gt;0,"Y",IF(COUNTIFS('QC listings'!$A$5:$A$200,$M136,'QC listings'!$C$5:$C$200,Q$4)&gt;0,"?","–")))</f>
        <v/>
      </c>
      <c r="R136" s="12" t="str">
        <f aca="false">IF($M136="","",IF(COUNTIFS('QC listings'!$A$5:$A$200,$M136,'QC listings'!$C$5:$C$200,R$4,'QC listings'!$F$5:$F$200,"Listing page")+COUNTIFS('QC listings'!$A$5:$A$200,$M136,'QC listings'!$C$5:$C$200,R$4,'QC listings'!$F$5:$F$200,"Brand page")&gt;0,"Y",IF(COUNTIFS('QC listings'!$A$5:$A$200,$M136,'QC listings'!$C$5:$C$200,R$4)&gt;0,"?","–")))</f>
        <v/>
      </c>
      <c r="S136" s="12" t="str">
        <f aca="false">IF($M136="","",COUNTIF(O136:R136,"Y"))</f>
        <v/>
      </c>
      <c r="T136" s="23" t="str">
        <f aca="false">IF($M136="","",SUMPRODUCT(MAX(('QC listings'!$A$5:$A$200=$M136)*'QC listings'!$E$5:$E$200)))</f>
        <v/>
      </c>
      <c r="U136" s="12" t="str">
        <f aca="false">IF($M136="","",IF(T136&gt;=Scoring!$B$11,3,IF(T136&gt;=Scoring!$B$10,2,IF(T136&gt;=Scoring!$B$9,1,0))))</f>
        <v/>
      </c>
      <c r="V136" s="12" t="n">
        <f aca="false">IFERROR(INDEX(Scoring!$B$27:$B$56,MATCH($E136,Scoring!$A$27:$A$56,0)),0)</f>
        <v>0</v>
      </c>
      <c r="W136" s="24" t="n">
        <f aca="false">IF($G136="","",ROUND((Scoring!$B$5-$G136)/30.4375,1))</f>
        <v>19.3</v>
      </c>
      <c r="X136" s="12" t="n">
        <f aca="false">IF($F136="Expired",Scoring!$B$18,IF($G136="",Scoring!$B$17,IF(W136&lt;=Scoring!$B$12,Scoring!$B$13,IF(W136&lt;=Scoring!$B$14,Scoring!$B$15,Scoring!$B$16))))</f>
        <v>1</v>
      </c>
      <c r="Y136" s="15" t="str">
        <f aca="false">IF($M136="","",ROUND((S136*Scoring!$B$6+U136*Scoring!$B$7)*IFERROR(INDEX(Scoring!$B$22:$B$24,MATCH($N136,Scoring!$A$22:$A$24,0)),1)+V136*Scoring!$B$8+X136,2))</f>
        <v/>
      </c>
      <c r="Z136" s="12" t="str">
        <f aca="false">IF($M136="","",IF(SUMPRODUCT(($M$5:$M$249=$M136)*($G$5:$G$249&gt;$G136))&gt;0,0,IF(SUMPRODUCT(($M$5:$M$249=$M136)*($G$5:$G$249=$G136)*(ROW($M$5:$M$249)&lt;ROW($M136)))&gt;0,0,1)))</f>
        <v/>
      </c>
      <c r="AA136" s="12" t="str">
        <f aca="false">IF($Z136=1,RANK($AE136,$AE$5:$AE$249,0),"")</f>
        <v/>
      </c>
      <c r="AB136" s="7" t="s">
        <v>153</v>
      </c>
      <c r="AC136" s="6" t="s">
        <v>162</v>
      </c>
      <c r="AD136" s="6"/>
      <c r="AE136" s="25" t="str">
        <f aca="false">IF($Z136=1,$Y136+$T136/1000000000-ROW()/10000000,"")</f>
        <v/>
      </c>
    </row>
    <row r="137" customFormat="false" ht="23.85" hidden="false" customHeight="false" outlineLevel="0" collapsed="false">
      <c r="A137" s="7" t="s">
        <v>816</v>
      </c>
      <c r="B137" s="6" t="s">
        <v>755</v>
      </c>
      <c r="C137" s="6" t="s">
        <v>817</v>
      </c>
      <c r="D137" s="7" t="s">
        <v>757</v>
      </c>
      <c r="E137" s="7" t="s">
        <v>801</v>
      </c>
      <c r="F137" s="12" t="s">
        <v>158</v>
      </c>
      <c r="G137" s="13" t="n">
        <v>46075</v>
      </c>
      <c r="H137" s="7" t="s">
        <v>818</v>
      </c>
      <c r="I137" s="6" t="s">
        <v>149</v>
      </c>
      <c r="J137" s="7" t="s">
        <v>60</v>
      </c>
      <c r="K137" s="12"/>
      <c r="L137" s="10" t="s">
        <v>819</v>
      </c>
      <c r="M137" s="7"/>
      <c r="N137" s="12"/>
      <c r="O137" s="12" t="str">
        <f aca="false">IF($M137="","",IF(COUNTIFS('QC listings'!$A$5:$A$200,$M137,'QC listings'!$C$5:$C$200,O$4,'QC listings'!$F$5:$F$200,"Listing page")+COUNTIFS('QC listings'!$A$5:$A$200,$M137,'QC listings'!$C$5:$C$200,O$4,'QC listings'!$F$5:$F$200,"Brand page")&gt;0,"Y",IF(COUNTIFS('QC listings'!$A$5:$A$200,$M137,'QC listings'!$C$5:$C$200,O$4)&gt;0,"?","–")))</f>
        <v/>
      </c>
      <c r="P137" s="12" t="str">
        <f aca="false">IF($M137="","",IF(COUNTIFS('QC listings'!$A$5:$A$200,$M137,'QC listings'!$C$5:$C$200,P$4,'QC listings'!$F$5:$F$200,"Listing page")+COUNTIFS('QC listings'!$A$5:$A$200,$M137,'QC listings'!$C$5:$C$200,P$4,'QC listings'!$F$5:$F$200,"Brand page")&gt;0,"Y",IF(COUNTIFS('QC listings'!$A$5:$A$200,$M137,'QC listings'!$C$5:$C$200,P$4)&gt;0,"?","–")))</f>
        <v/>
      </c>
      <c r="Q137" s="12" t="str">
        <f aca="false">IF($M137="","",IF(COUNTIFS('QC listings'!$A$5:$A$200,$M137,'QC listings'!$C$5:$C$200,Q$4,'QC listings'!$F$5:$F$200,"Listing page")+COUNTIFS('QC listings'!$A$5:$A$200,$M137,'QC listings'!$C$5:$C$200,Q$4,'QC listings'!$F$5:$F$200,"Brand page")&gt;0,"Y",IF(COUNTIFS('QC listings'!$A$5:$A$200,$M137,'QC listings'!$C$5:$C$200,Q$4)&gt;0,"?","–")))</f>
        <v/>
      </c>
      <c r="R137" s="12" t="str">
        <f aca="false">IF($M137="","",IF(COUNTIFS('QC listings'!$A$5:$A$200,$M137,'QC listings'!$C$5:$C$200,R$4,'QC listings'!$F$5:$F$200,"Listing page")+COUNTIFS('QC listings'!$A$5:$A$200,$M137,'QC listings'!$C$5:$C$200,R$4,'QC listings'!$F$5:$F$200,"Brand page")&gt;0,"Y",IF(COUNTIFS('QC listings'!$A$5:$A$200,$M137,'QC listings'!$C$5:$C$200,R$4)&gt;0,"?","–")))</f>
        <v/>
      </c>
      <c r="S137" s="12" t="str">
        <f aca="false">IF($M137="","",COUNTIF(O137:R137,"Y"))</f>
        <v/>
      </c>
      <c r="T137" s="23" t="str">
        <f aca="false">IF($M137="","",SUMPRODUCT(MAX(('QC listings'!$A$5:$A$200=$M137)*'QC listings'!$E$5:$E$200)))</f>
        <v/>
      </c>
      <c r="U137" s="12" t="str">
        <f aca="false">IF($M137="","",IF(T137&gt;=Scoring!$B$11,3,IF(T137&gt;=Scoring!$B$10,2,IF(T137&gt;=Scoring!$B$9,1,0))))</f>
        <v/>
      </c>
      <c r="V137" s="12" t="n">
        <f aca="false">IFERROR(INDEX(Scoring!$B$27:$B$56,MATCH($E137,Scoring!$A$27:$A$56,0)),0)</f>
        <v>0</v>
      </c>
      <c r="W137" s="24" t="n">
        <f aca="false">IF($G137="","",ROUND((Scoring!$B$5-$G137)/30.4375,1))</f>
        <v>7.3</v>
      </c>
      <c r="X137" s="12" t="n">
        <f aca="false">IF($F137="Expired",Scoring!$B$18,IF($G137="",Scoring!$B$17,IF(W137&lt;=Scoring!$B$12,Scoring!$B$13,IF(W137&lt;=Scoring!$B$14,Scoring!$B$15,Scoring!$B$16))))</f>
        <v>2</v>
      </c>
      <c r="Y137" s="15" t="str">
        <f aca="false">IF($M137="","",ROUND((S137*Scoring!$B$6+U137*Scoring!$B$7)*IFERROR(INDEX(Scoring!$B$22:$B$24,MATCH($N137,Scoring!$A$22:$A$24,0)),1)+V137*Scoring!$B$8+X137,2))</f>
        <v/>
      </c>
      <c r="Z137" s="12" t="str">
        <f aca="false">IF($M137="","",IF(SUMPRODUCT(($M$5:$M$249=$M137)*($G$5:$G$249&gt;$G137))&gt;0,0,IF(SUMPRODUCT(($M$5:$M$249=$M137)*($G$5:$G$249=$G137)*(ROW($M$5:$M$249)&lt;ROW($M137)))&gt;0,0,1)))</f>
        <v/>
      </c>
      <c r="AA137" s="12" t="str">
        <f aca="false">IF($Z137=1,RANK($AE137,$AE$5:$AE$249,0),"")</f>
        <v/>
      </c>
      <c r="AB137" s="7" t="s">
        <v>153</v>
      </c>
      <c r="AC137" s="6" t="s">
        <v>162</v>
      </c>
      <c r="AD137" s="6"/>
      <c r="AE137" s="25" t="str">
        <f aca="false">IF($Z137=1,$Y137+$T137/1000000000-ROW()/10000000,"")</f>
        <v/>
      </c>
    </row>
    <row r="138" customFormat="false" ht="23.85" hidden="false" customHeight="false" outlineLevel="0" collapsed="false">
      <c r="A138" s="7" t="s">
        <v>820</v>
      </c>
      <c r="B138" s="6" t="s">
        <v>821</v>
      </c>
      <c r="C138" s="6" t="s">
        <v>822</v>
      </c>
      <c r="D138" s="7" t="s">
        <v>757</v>
      </c>
      <c r="E138" s="7" t="s">
        <v>801</v>
      </c>
      <c r="F138" s="12" t="s">
        <v>158</v>
      </c>
      <c r="G138" s="13" t="n">
        <v>45687</v>
      </c>
      <c r="H138" s="7" t="s">
        <v>823</v>
      </c>
      <c r="I138" s="6" t="s">
        <v>149</v>
      </c>
      <c r="J138" s="7" t="s">
        <v>60</v>
      </c>
      <c r="K138" s="12"/>
      <c r="L138" s="10" t="s">
        <v>824</v>
      </c>
      <c r="M138" s="7"/>
      <c r="N138" s="12"/>
      <c r="O138" s="12" t="str">
        <f aca="false">IF($M138="","",IF(COUNTIFS('QC listings'!$A$5:$A$200,$M138,'QC listings'!$C$5:$C$200,O$4,'QC listings'!$F$5:$F$200,"Listing page")+COUNTIFS('QC listings'!$A$5:$A$200,$M138,'QC listings'!$C$5:$C$200,O$4,'QC listings'!$F$5:$F$200,"Brand page")&gt;0,"Y",IF(COUNTIFS('QC listings'!$A$5:$A$200,$M138,'QC listings'!$C$5:$C$200,O$4)&gt;0,"?","–")))</f>
        <v/>
      </c>
      <c r="P138" s="12" t="str">
        <f aca="false">IF($M138="","",IF(COUNTIFS('QC listings'!$A$5:$A$200,$M138,'QC listings'!$C$5:$C$200,P$4,'QC listings'!$F$5:$F$200,"Listing page")+COUNTIFS('QC listings'!$A$5:$A$200,$M138,'QC listings'!$C$5:$C$200,P$4,'QC listings'!$F$5:$F$200,"Brand page")&gt;0,"Y",IF(COUNTIFS('QC listings'!$A$5:$A$200,$M138,'QC listings'!$C$5:$C$200,P$4)&gt;0,"?","–")))</f>
        <v/>
      </c>
      <c r="Q138" s="12" t="str">
        <f aca="false">IF($M138="","",IF(COUNTIFS('QC listings'!$A$5:$A$200,$M138,'QC listings'!$C$5:$C$200,Q$4,'QC listings'!$F$5:$F$200,"Listing page")+COUNTIFS('QC listings'!$A$5:$A$200,$M138,'QC listings'!$C$5:$C$200,Q$4,'QC listings'!$F$5:$F$200,"Brand page")&gt;0,"Y",IF(COUNTIFS('QC listings'!$A$5:$A$200,$M138,'QC listings'!$C$5:$C$200,Q$4)&gt;0,"?","–")))</f>
        <v/>
      </c>
      <c r="R138" s="12" t="str">
        <f aca="false">IF($M138="","",IF(COUNTIFS('QC listings'!$A$5:$A$200,$M138,'QC listings'!$C$5:$C$200,R$4,'QC listings'!$F$5:$F$200,"Listing page")+COUNTIFS('QC listings'!$A$5:$A$200,$M138,'QC listings'!$C$5:$C$200,R$4,'QC listings'!$F$5:$F$200,"Brand page")&gt;0,"Y",IF(COUNTIFS('QC listings'!$A$5:$A$200,$M138,'QC listings'!$C$5:$C$200,R$4)&gt;0,"?","–")))</f>
        <v/>
      </c>
      <c r="S138" s="12" t="str">
        <f aca="false">IF($M138="","",COUNTIF(O138:R138,"Y"))</f>
        <v/>
      </c>
      <c r="T138" s="23" t="str">
        <f aca="false">IF($M138="","",SUMPRODUCT(MAX(('QC listings'!$A$5:$A$200=$M138)*'QC listings'!$E$5:$E$200)))</f>
        <v/>
      </c>
      <c r="U138" s="12" t="str">
        <f aca="false">IF($M138="","",IF(T138&gt;=Scoring!$B$11,3,IF(T138&gt;=Scoring!$B$10,2,IF(T138&gt;=Scoring!$B$9,1,0))))</f>
        <v/>
      </c>
      <c r="V138" s="12" t="n">
        <f aca="false">IFERROR(INDEX(Scoring!$B$27:$B$56,MATCH($E138,Scoring!$A$27:$A$56,0)),0)</f>
        <v>0</v>
      </c>
      <c r="W138" s="24" t="n">
        <f aca="false">IF($G138="","",ROUND((Scoring!$B$5-$G138)/30.4375,1))</f>
        <v>20</v>
      </c>
      <c r="X138" s="12" t="n">
        <f aca="false">IF($F138="Expired",Scoring!$B$18,IF($G138="",Scoring!$B$17,IF(W138&lt;=Scoring!$B$12,Scoring!$B$13,IF(W138&lt;=Scoring!$B$14,Scoring!$B$15,Scoring!$B$16))))</f>
        <v>1</v>
      </c>
      <c r="Y138" s="15" t="str">
        <f aca="false">IF($M138="","",ROUND((S138*Scoring!$B$6+U138*Scoring!$B$7)*IFERROR(INDEX(Scoring!$B$22:$B$24,MATCH($N138,Scoring!$A$22:$A$24,0)),1)+V138*Scoring!$B$8+X138,2))</f>
        <v/>
      </c>
      <c r="Z138" s="12" t="str">
        <f aca="false">IF($M138="","",IF(SUMPRODUCT(($M$5:$M$249=$M138)*($G$5:$G$249&gt;$G138))&gt;0,0,IF(SUMPRODUCT(($M$5:$M$249=$M138)*($G$5:$G$249=$G138)*(ROW($M$5:$M$249)&lt;ROW($M138)))&gt;0,0,1)))</f>
        <v/>
      </c>
      <c r="AA138" s="12" t="str">
        <f aca="false">IF($Z138=1,RANK($AE138,$AE$5:$AE$249,0),"")</f>
        <v/>
      </c>
      <c r="AB138" s="7" t="s">
        <v>153</v>
      </c>
      <c r="AC138" s="6" t="s">
        <v>162</v>
      </c>
      <c r="AD138" s="6"/>
      <c r="AE138" s="25" t="str">
        <f aca="false">IF($Z138=1,$Y138+$T138/1000000000-ROW()/10000000,"")</f>
        <v/>
      </c>
    </row>
    <row r="139" customFormat="false" ht="23.85" hidden="false" customHeight="false" outlineLevel="0" collapsed="false">
      <c r="A139" s="7" t="s">
        <v>825</v>
      </c>
      <c r="B139" s="6" t="s">
        <v>826</v>
      </c>
      <c r="C139" s="6" t="s">
        <v>827</v>
      </c>
      <c r="D139" s="7" t="s">
        <v>757</v>
      </c>
      <c r="E139" s="7" t="s">
        <v>801</v>
      </c>
      <c r="F139" s="12" t="s">
        <v>147</v>
      </c>
      <c r="G139" s="13" t="n">
        <v>46193</v>
      </c>
      <c r="H139" s="7" t="s">
        <v>828</v>
      </c>
      <c r="I139" s="6" t="s">
        <v>149</v>
      </c>
      <c r="J139" s="7" t="s">
        <v>60</v>
      </c>
      <c r="K139" s="12"/>
      <c r="L139" s="10" t="s">
        <v>829</v>
      </c>
      <c r="M139" s="7"/>
      <c r="N139" s="12"/>
      <c r="O139" s="12" t="str">
        <f aca="false">IF($M139="","",IF(COUNTIFS('QC listings'!$A$5:$A$200,$M139,'QC listings'!$C$5:$C$200,O$4,'QC listings'!$F$5:$F$200,"Listing page")+COUNTIFS('QC listings'!$A$5:$A$200,$M139,'QC listings'!$C$5:$C$200,O$4,'QC listings'!$F$5:$F$200,"Brand page")&gt;0,"Y",IF(COUNTIFS('QC listings'!$A$5:$A$200,$M139,'QC listings'!$C$5:$C$200,O$4)&gt;0,"?","–")))</f>
        <v/>
      </c>
      <c r="P139" s="12" t="str">
        <f aca="false">IF($M139="","",IF(COUNTIFS('QC listings'!$A$5:$A$200,$M139,'QC listings'!$C$5:$C$200,P$4,'QC listings'!$F$5:$F$200,"Listing page")+COUNTIFS('QC listings'!$A$5:$A$200,$M139,'QC listings'!$C$5:$C$200,P$4,'QC listings'!$F$5:$F$200,"Brand page")&gt;0,"Y",IF(COUNTIFS('QC listings'!$A$5:$A$200,$M139,'QC listings'!$C$5:$C$200,P$4)&gt;0,"?","–")))</f>
        <v/>
      </c>
      <c r="Q139" s="12" t="str">
        <f aca="false">IF($M139="","",IF(COUNTIFS('QC listings'!$A$5:$A$200,$M139,'QC listings'!$C$5:$C$200,Q$4,'QC listings'!$F$5:$F$200,"Listing page")+COUNTIFS('QC listings'!$A$5:$A$200,$M139,'QC listings'!$C$5:$C$200,Q$4,'QC listings'!$F$5:$F$200,"Brand page")&gt;0,"Y",IF(COUNTIFS('QC listings'!$A$5:$A$200,$M139,'QC listings'!$C$5:$C$200,Q$4)&gt;0,"?","–")))</f>
        <v/>
      </c>
      <c r="R139" s="12" t="str">
        <f aca="false">IF($M139="","",IF(COUNTIFS('QC listings'!$A$5:$A$200,$M139,'QC listings'!$C$5:$C$200,R$4,'QC listings'!$F$5:$F$200,"Listing page")+COUNTIFS('QC listings'!$A$5:$A$200,$M139,'QC listings'!$C$5:$C$200,R$4,'QC listings'!$F$5:$F$200,"Brand page")&gt;0,"Y",IF(COUNTIFS('QC listings'!$A$5:$A$200,$M139,'QC listings'!$C$5:$C$200,R$4)&gt;0,"?","–")))</f>
        <v/>
      </c>
      <c r="S139" s="12" t="str">
        <f aca="false">IF($M139="","",COUNTIF(O139:R139,"Y"))</f>
        <v/>
      </c>
      <c r="T139" s="23" t="str">
        <f aca="false">IF($M139="","",SUMPRODUCT(MAX(('QC listings'!$A$5:$A$200=$M139)*'QC listings'!$E$5:$E$200)))</f>
        <v/>
      </c>
      <c r="U139" s="12" t="str">
        <f aca="false">IF($M139="","",IF(T139&gt;=Scoring!$B$11,3,IF(T139&gt;=Scoring!$B$10,2,IF(T139&gt;=Scoring!$B$9,1,0))))</f>
        <v/>
      </c>
      <c r="V139" s="12" t="n">
        <f aca="false">IFERROR(INDEX(Scoring!$B$27:$B$56,MATCH($E139,Scoring!$A$27:$A$56,0)),0)</f>
        <v>0</v>
      </c>
      <c r="W139" s="24" t="n">
        <f aca="false">IF($G139="","",ROUND((Scoring!$B$5-$G139)/30.4375,1))</f>
        <v>3.4</v>
      </c>
      <c r="X139" s="12" t="n">
        <f aca="false">IF($F139="Expired",Scoring!$B$18,IF($G139="",Scoring!$B$17,IF(W139&lt;=Scoring!$B$12,Scoring!$B$13,IF(W139&lt;=Scoring!$B$14,Scoring!$B$15,Scoring!$B$16))))</f>
        <v>2</v>
      </c>
      <c r="Y139" s="15" t="str">
        <f aca="false">IF($M139="","",ROUND((S139*Scoring!$B$6+U139*Scoring!$B$7)*IFERROR(INDEX(Scoring!$B$22:$B$24,MATCH($N139,Scoring!$A$22:$A$24,0)),1)+V139*Scoring!$B$8+X139,2))</f>
        <v/>
      </c>
      <c r="Z139" s="12" t="str">
        <f aca="false">IF($M139="","",IF(SUMPRODUCT(($M$5:$M$249=$M139)*($G$5:$G$249&gt;$G139))&gt;0,0,IF(SUMPRODUCT(($M$5:$M$249=$M139)*($G$5:$G$249=$G139)*(ROW($M$5:$M$249)&lt;ROW($M139)))&gt;0,0,1)))</f>
        <v/>
      </c>
      <c r="AA139" s="12" t="str">
        <f aca="false">IF($Z139=1,RANK($AE139,$AE$5:$AE$249,0),"")</f>
        <v/>
      </c>
      <c r="AB139" s="7" t="s">
        <v>153</v>
      </c>
      <c r="AC139" s="6" t="s">
        <v>154</v>
      </c>
      <c r="AD139" s="6"/>
      <c r="AE139" s="25" t="str">
        <f aca="false">IF($Z139=1,$Y139+$T139/1000000000-ROW()/10000000,"")</f>
        <v/>
      </c>
    </row>
    <row r="140" customFormat="false" ht="23.85" hidden="false" customHeight="false" outlineLevel="0" collapsed="false">
      <c r="A140" s="7" t="s">
        <v>830</v>
      </c>
      <c r="B140" s="6" t="s">
        <v>831</v>
      </c>
      <c r="C140" s="6" t="s">
        <v>832</v>
      </c>
      <c r="D140" s="7" t="s">
        <v>757</v>
      </c>
      <c r="E140" s="7" t="s">
        <v>801</v>
      </c>
      <c r="F140" s="12" t="s">
        <v>147</v>
      </c>
      <c r="G140" s="13" t="n">
        <v>45886</v>
      </c>
      <c r="H140" s="7" t="s">
        <v>833</v>
      </c>
      <c r="I140" s="6" t="s">
        <v>149</v>
      </c>
      <c r="J140" s="7" t="s">
        <v>60</v>
      </c>
      <c r="K140" s="12"/>
      <c r="L140" s="10" t="s">
        <v>834</v>
      </c>
      <c r="M140" s="7"/>
      <c r="N140" s="12"/>
      <c r="O140" s="12" t="str">
        <f aca="false">IF($M140="","",IF(COUNTIFS('QC listings'!$A$5:$A$200,$M140,'QC listings'!$C$5:$C$200,O$4,'QC listings'!$F$5:$F$200,"Listing page")+COUNTIFS('QC listings'!$A$5:$A$200,$M140,'QC listings'!$C$5:$C$200,O$4,'QC listings'!$F$5:$F$200,"Brand page")&gt;0,"Y",IF(COUNTIFS('QC listings'!$A$5:$A$200,$M140,'QC listings'!$C$5:$C$200,O$4)&gt;0,"?","–")))</f>
        <v/>
      </c>
      <c r="P140" s="12" t="str">
        <f aca="false">IF($M140="","",IF(COUNTIFS('QC listings'!$A$5:$A$200,$M140,'QC listings'!$C$5:$C$200,P$4,'QC listings'!$F$5:$F$200,"Listing page")+COUNTIFS('QC listings'!$A$5:$A$200,$M140,'QC listings'!$C$5:$C$200,P$4,'QC listings'!$F$5:$F$200,"Brand page")&gt;0,"Y",IF(COUNTIFS('QC listings'!$A$5:$A$200,$M140,'QC listings'!$C$5:$C$200,P$4)&gt;0,"?","–")))</f>
        <v/>
      </c>
      <c r="Q140" s="12" t="str">
        <f aca="false">IF($M140="","",IF(COUNTIFS('QC listings'!$A$5:$A$200,$M140,'QC listings'!$C$5:$C$200,Q$4,'QC listings'!$F$5:$F$200,"Listing page")+COUNTIFS('QC listings'!$A$5:$A$200,$M140,'QC listings'!$C$5:$C$200,Q$4,'QC listings'!$F$5:$F$200,"Brand page")&gt;0,"Y",IF(COUNTIFS('QC listings'!$A$5:$A$200,$M140,'QC listings'!$C$5:$C$200,Q$4)&gt;0,"?","–")))</f>
        <v/>
      </c>
      <c r="R140" s="12" t="str">
        <f aca="false">IF($M140="","",IF(COUNTIFS('QC listings'!$A$5:$A$200,$M140,'QC listings'!$C$5:$C$200,R$4,'QC listings'!$F$5:$F$200,"Listing page")+COUNTIFS('QC listings'!$A$5:$A$200,$M140,'QC listings'!$C$5:$C$200,R$4,'QC listings'!$F$5:$F$200,"Brand page")&gt;0,"Y",IF(COUNTIFS('QC listings'!$A$5:$A$200,$M140,'QC listings'!$C$5:$C$200,R$4)&gt;0,"?","–")))</f>
        <v/>
      </c>
      <c r="S140" s="12" t="str">
        <f aca="false">IF($M140="","",COUNTIF(O140:R140,"Y"))</f>
        <v/>
      </c>
      <c r="T140" s="23" t="str">
        <f aca="false">IF($M140="","",SUMPRODUCT(MAX(('QC listings'!$A$5:$A$200=$M140)*'QC listings'!$E$5:$E$200)))</f>
        <v/>
      </c>
      <c r="U140" s="12" t="str">
        <f aca="false">IF($M140="","",IF(T140&gt;=Scoring!$B$11,3,IF(T140&gt;=Scoring!$B$10,2,IF(T140&gt;=Scoring!$B$9,1,0))))</f>
        <v/>
      </c>
      <c r="V140" s="12" t="n">
        <f aca="false">IFERROR(INDEX(Scoring!$B$27:$B$56,MATCH($E140,Scoring!$A$27:$A$56,0)),0)</f>
        <v>0</v>
      </c>
      <c r="W140" s="24" t="n">
        <f aca="false">IF($G140="","",ROUND((Scoring!$B$5-$G140)/30.4375,1))</f>
        <v>13.5</v>
      </c>
      <c r="X140" s="12" t="n">
        <f aca="false">IF($F140="Expired",Scoring!$B$18,IF($G140="",Scoring!$B$17,IF(W140&lt;=Scoring!$B$12,Scoring!$B$13,IF(W140&lt;=Scoring!$B$14,Scoring!$B$15,Scoring!$B$16))))</f>
        <v>1</v>
      </c>
      <c r="Y140" s="15" t="str">
        <f aca="false">IF($M140="","",ROUND((S140*Scoring!$B$6+U140*Scoring!$B$7)*IFERROR(INDEX(Scoring!$B$22:$B$24,MATCH($N140,Scoring!$A$22:$A$24,0)),1)+V140*Scoring!$B$8+X140,2))</f>
        <v/>
      </c>
      <c r="Z140" s="12" t="str">
        <f aca="false">IF($M140="","",IF(SUMPRODUCT(($M$5:$M$249=$M140)*($G$5:$G$249&gt;$G140))&gt;0,0,IF(SUMPRODUCT(($M$5:$M$249=$M140)*($G$5:$G$249=$G140)*(ROW($M$5:$M$249)&lt;ROW($M140)))&gt;0,0,1)))</f>
        <v/>
      </c>
      <c r="AA140" s="12" t="str">
        <f aca="false">IF($Z140=1,RANK($AE140,$AE$5:$AE$249,0),"")</f>
        <v/>
      </c>
      <c r="AB140" s="7" t="s">
        <v>153</v>
      </c>
      <c r="AC140" s="6" t="s">
        <v>154</v>
      </c>
      <c r="AD140" s="6"/>
      <c r="AE140" s="25" t="str">
        <f aca="false">IF($Z140=1,$Y140+$T140/1000000000-ROW()/10000000,"")</f>
        <v/>
      </c>
    </row>
    <row r="141" customFormat="false" ht="23.85" hidden="false" customHeight="false" outlineLevel="0" collapsed="false">
      <c r="A141" s="7" t="s">
        <v>835</v>
      </c>
      <c r="B141" s="6" t="s">
        <v>836</v>
      </c>
      <c r="C141" s="6" t="s">
        <v>837</v>
      </c>
      <c r="D141" s="7" t="s">
        <v>757</v>
      </c>
      <c r="E141" s="7" t="s">
        <v>801</v>
      </c>
      <c r="F141" s="12" t="s">
        <v>838</v>
      </c>
      <c r="G141" s="13" t="n">
        <v>46159</v>
      </c>
      <c r="H141" s="7" t="s">
        <v>839</v>
      </c>
      <c r="I141" s="6" t="s">
        <v>149</v>
      </c>
      <c r="J141" s="7" t="s">
        <v>60</v>
      </c>
      <c r="K141" s="12"/>
      <c r="L141" s="10" t="s">
        <v>840</v>
      </c>
      <c r="M141" s="7"/>
      <c r="N141" s="12"/>
      <c r="O141" s="12" t="str">
        <f aca="false">IF($M141="","",IF(COUNTIFS('QC listings'!$A$5:$A$200,$M141,'QC listings'!$C$5:$C$200,O$4,'QC listings'!$F$5:$F$200,"Listing page")+COUNTIFS('QC listings'!$A$5:$A$200,$M141,'QC listings'!$C$5:$C$200,O$4,'QC listings'!$F$5:$F$200,"Brand page")&gt;0,"Y",IF(COUNTIFS('QC listings'!$A$5:$A$200,$M141,'QC listings'!$C$5:$C$200,O$4)&gt;0,"?","–")))</f>
        <v/>
      </c>
      <c r="P141" s="12" t="str">
        <f aca="false">IF($M141="","",IF(COUNTIFS('QC listings'!$A$5:$A$200,$M141,'QC listings'!$C$5:$C$200,P$4,'QC listings'!$F$5:$F$200,"Listing page")+COUNTIFS('QC listings'!$A$5:$A$200,$M141,'QC listings'!$C$5:$C$200,P$4,'QC listings'!$F$5:$F$200,"Brand page")&gt;0,"Y",IF(COUNTIFS('QC listings'!$A$5:$A$200,$M141,'QC listings'!$C$5:$C$200,P$4)&gt;0,"?","–")))</f>
        <v/>
      </c>
      <c r="Q141" s="12" t="str">
        <f aca="false">IF($M141="","",IF(COUNTIFS('QC listings'!$A$5:$A$200,$M141,'QC listings'!$C$5:$C$200,Q$4,'QC listings'!$F$5:$F$200,"Listing page")+COUNTIFS('QC listings'!$A$5:$A$200,$M141,'QC listings'!$C$5:$C$200,Q$4,'QC listings'!$F$5:$F$200,"Brand page")&gt;0,"Y",IF(COUNTIFS('QC listings'!$A$5:$A$200,$M141,'QC listings'!$C$5:$C$200,Q$4)&gt;0,"?","–")))</f>
        <v/>
      </c>
      <c r="R141" s="12" t="str">
        <f aca="false">IF($M141="","",IF(COUNTIFS('QC listings'!$A$5:$A$200,$M141,'QC listings'!$C$5:$C$200,R$4,'QC listings'!$F$5:$F$200,"Listing page")+COUNTIFS('QC listings'!$A$5:$A$200,$M141,'QC listings'!$C$5:$C$200,R$4,'QC listings'!$F$5:$F$200,"Brand page")&gt;0,"Y",IF(COUNTIFS('QC listings'!$A$5:$A$200,$M141,'QC listings'!$C$5:$C$200,R$4)&gt;0,"?","–")))</f>
        <v/>
      </c>
      <c r="S141" s="12" t="str">
        <f aca="false">IF($M141="","",COUNTIF(O141:R141,"Y"))</f>
        <v/>
      </c>
      <c r="T141" s="23" t="str">
        <f aca="false">IF($M141="","",SUMPRODUCT(MAX(('QC listings'!$A$5:$A$200=$M141)*'QC listings'!$E$5:$E$200)))</f>
        <v/>
      </c>
      <c r="U141" s="12" t="str">
        <f aca="false">IF($M141="","",IF(T141&gt;=Scoring!$B$11,3,IF(T141&gt;=Scoring!$B$10,2,IF(T141&gt;=Scoring!$B$9,1,0))))</f>
        <v/>
      </c>
      <c r="V141" s="12" t="n">
        <f aca="false">IFERROR(INDEX(Scoring!$B$27:$B$56,MATCH($E141,Scoring!$A$27:$A$56,0)),0)</f>
        <v>0</v>
      </c>
      <c r="W141" s="24" t="n">
        <f aca="false">IF($G141="","",ROUND((Scoring!$B$5-$G141)/30.4375,1))</f>
        <v>4.5</v>
      </c>
      <c r="X141" s="12" t="n">
        <f aca="false">IF($F141="Expired",Scoring!$B$18,IF($G141="",Scoring!$B$17,IF(W141&lt;=Scoring!$B$12,Scoring!$B$13,IF(W141&lt;=Scoring!$B$14,Scoring!$B$15,Scoring!$B$16))))</f>
        <v>2</v>
      </c>
      <c r="Y141" s="15" t="str">
        <f aca="false">IF($M141="","",ROUND((S141*Scoring!$B$6+U141*Scoring!$B$7)*IFERROR(INDEX(Scoring!$B$22:$B$24,MATCH($N141,Scoring!$A$22:$A$24,0)),1)+V141*Scoring!$B$8+X141,2))</f>
        <v/>
      </c>
      <c r="Z141" s="12" t="str">
        <f aca="false">IF($M141="","",IF(SUMPRODUCT(($M$5:$M$249=$M141)*($G$5:$G$249&gt;$G141))&gt;0,0,IF(SUMPRODUCT(($M$5:$M$249=$M141)*($G$5:$G$249=$G141)*(ROW($M$5:$M$249)&lt;ROW($M141)))&gt;0,0,1)))</f>
        <v/>
      </c>
      <c r="AA141" s="12" t="str">
        <f aca="false">IF($Z141=1,RANK($AE141,$AE$5:$AE$249,0),"")</f>
        <v/>
      </c>
      <c r="AB141" s="7" t="s">
        <v>153</v>
      </c>
      <c r="AC141" s="6" t="s">
        <v>162</v>
      </c>
      <c r="AD141" s="6" t="s">
        <v>841</v>
      </c>
      <c r="AE141" s="25" t="str">
        <f aca="false">IF($Z141=1,$Y141+$T141/1000000000-ROW()/10000000,"")</f>
        <v/>
      </c>
    </row>
    <row r="142" customFormat="false" ht="23.85" hidden="false" customHeight="false" outlineLevel="0" collapsed="false">
      <c r="A142" s="7" t="s">
        <v>842</v>
      </c>
      <c r="B142" s="6" t="s">
        <v>843</v>
      </c>
      <c r="C142" s="6" t="s">
        <v>844</v>
      </c>
      <c r="D142" s="7" t="s">
        <v>757</v>
      </c>
      <c r="E142" s="7" t="s">
        <v>801</v>
      </c>
      <c r="F142" s="12" t="s">
        <v>549</v>
      </c>
      <c r="G142" s="13" t="n">
        <v>45891</v>
      </c>
      <c r="H142" s="7" t="s">
        <v>845</v>
      </c>
      <c r="I142" s="6" t="s">
        <v>149</v>
      </c>
      <c r="J142" s="7" t="s">
        <v>60</v>
      </c>
      <c r="K142" s="12"/>
      <c r="L142" s="10" t="s">
        <v>846</v>
      </c>
      <c r="M142" s="7"/>
      <c r="N142" s="12"/>
      <c r="O142" s="12" t="str">
        <f aca="false">IF($M142="","",IF(COUNTIFS('QC listings'!$A$5:$A$200,$M142,'QC listings'!$C$5:$C$200,O$4,'QC listings'!$F$5:$F$200,"Listing page")+COUNTIFS('QC listings'!$A$5:$A$200,$M142,'QC listings'!$C$5:$C$200,O$4,'QC listings'!$F$5:$F$200,"Brand page")&gt;0,"Y",IF(COUNTIFS('QC listings'!$A$5:$A$200,$M142,'QC listings'!$C$5:$C$200,O$4)&gt;0,"?","–")))</f>
        <v/>
      </c>
      <c r="P142" s="12" t="str">
        <f aca="false">IF($M142="","",IF(COUNTIFS('QC listings'!$A$5:$A$200,$M142,'QC listings'!$C$5:$C$200,P$4,'QC listings'!$F$5:$F$200,"Listing page")+COUNTIFS('QC listings'!$A$5:$A$200,$M142,'QC listings'!$C$5:$C$200,P$4,'QC listings'!$F$5:$F$200,"Brand page")&gt;0,"Y",IF(COUNTIFS('QC listings'!$A$5:$A$200,$M142,'QC listings'!$C$5:$C$200,P$4)&gt;0,"?","–")))</f>
        <v/>
      </c>
      <c r="Q142" s="12" t="str">
        <f aca="false">IF($M142="","",IF(COUNTIFS('QC listings'!$A$5:$A$200,$M142,'QC listings'!$C$5:$C$200,Q$4,'QC listings'!$F$5:$F$200,"Listing page")+COUNTIFS('QC listings'!$A$5:$A$200,$M142,'QC listings'!$C$5:$C$200,Q$4,'QC listings'!$F$5:$F$200,"Brand page")&gt;0,"Y",IF(COUNTIFS('QC listings'!$A$5:$A$200,$M142,'QC listings'!$C$5:$C$200,Q$4)&gt;0,"?","–")))</f>
        <v/>
      </c>
      <c r="R142" s="12" t="str">
        <f aca="false">IF($M142="","",IF(COUNTIFS('QC listings'!$A$5:$A$200,$M142,'QC listings'!$C$5:$C$200,R$4,'QC listings'!$F$5:$F$200,"Listing page")+COUNTIFS('QC listings'!$A$5:$A$200,$M142,'QC listings'!$C$5:$C$200,R$4,'QC listings'!$F$5:$F$200,"Brand page")&gt;0,"Y",IF(COUNTIFS('QC listings'!$A$5:$A$200,$M142,'QC listings'!$C$5:$C$200,R$4)&gt;0,"?","–")))</f>
        <v/>
      </c>
      <c r="S142" s="12" t="str">
        <f aca="false">IF($M142="","",COUNTIF(O142:R142,"Y"))</f>
        <v/>
      </c>
      <c r="T142" s="23" t="str">
        <f aca="false">IF($M142="","",SUMPRODUCT(MAX(('QC listings'!$A$5:$A$200=$M142)*'QC listings'!$E$5:$E$200)))</f>
        <v/>
      </c>
      <c r="U142" s="12" t="str">
        <f aca="false">IF($M142="","",IF(T142&gt;=Scoring!$B$11,3,IF(T142&gt;=Scoring!$B$10,2,IF(T142&gt;=Scoring!$B$9,1,0))))</f>
        <v/>
      </c>
      <c r="V142" s="12" t="n">
        <f aca="false">IFERROR(INDEX(Scoring!$B$27:$B$56,MATCH($E142,Scoring!$A$27:$A$56,0)),0)</f>
        <v>0</v>
      </c>
      <c r="W142" s="24" t="n">
        <f aca="false">IF($G142="","",ROUND((Scoring!$B$5-$G142)/30.4375,1))</f>
        <v>13.3</v>
      </c>
      <c r="X142" s="12" t="n">
        <f aca="false">IF($F142="Expired",Scoring!$B$18,IF($G142="",Scoring!$B$17,IF(W142&lt;=Scoring!$B$12,Scoring!$B$13,IF(W142&lt;=Scoring!$B$14,Scoring!$B$15,Scoring!$B$16))))</f>
        <v>0</v>
      </c>
      <c r="Y142" s="15" t="str">
        <f aca="false">IF($M142="","",ROUND((S142*Scoring!$B$6+U142*Scoring!$B$7)*IFERROR(INDEX(Scoring!$B$22:$B$24,MATCH($N142,Scoring!$A$22:$A$24,0)),1)+V142*Scoring!$B$8+X142,2))</f>
        <v/>
      </c>
      <c r="Z142" s="12" t="str">
        <f aca="false">IF($M142="","",IF(SUMPRODUCT(($M$5:$M$249=$M142)*($G$5:$G$249&gt;$G142))&gt;0,0,IF(SUMPRODUCT(($M$5:$M$249=$M142)*($G$5:$G$249=$G142)*(ROW($M$5:$M$249)&lt;ROW($M142)))&gt;0,0,1)))</f>
        <v/>
      </c>
      <c r="AA142" s="12" t="str">
        <f aca="false">IF($Z142=1,RANK($AE142,$AE$5:$AE$249,0),"")</f>
        <v/>
      </c>
      <c r="AB142" s="7" t="s">
        <v>153</v>
      </c>
      <c r="AC142" s="6" t="s">
        <v>642</v>
      </c>
      <c r="AD142" s="6"/>
      <c r="AE142" s="25" t="str">
        <f aca="false">IF($Z142=1,$Y142+$T142/1000000000-ROW()/10000000,"")</f>
        <v/>
      </c>
    </row>
    <row r="143" customFormat="false" ht="23.85" hidden="false" customHeight="false" outlineLevel="0" collapsed="false">
      <c r="A143" s="7" t="s">
        <v>847</v>
      </c>
      <c r="B143" s="6" t="s">
        <v>848</v>
      </c>
      <c r="C143" s="6" t="s">
        <v>849</v>
      </c>
      <c r="D143" s="7" t="s">
        <v>757</v>
      </c>
      <c r="E143" s="7" t="s">
        <v>801</v>
      </c>
      <c r="F143" s="12" t="s">
        <v>549</v>
      </c>
      <c r="G143" s="13" t="n">
        <v>46080</v>
      </c>
      <c r="H143" s="7" t="s">
        <v>850</v>
      </c>
      <c r="I143" s="6" t="s">
        <v>149</v>
      </c>
      <c r="J143" s="7" t="s">
        <v>60</v>
      </c>
      <c r="K143" s="12"/>
      <c r="L143" s="10" t="s">
        <v>851</v>
      </c>
      <c r="M143" s="7"/>
      <c r="N143" s="12"/>
      <c r="O143" s="12" t="str">
        <f aca="false">IF($M143="","",IF(COUNTIFS('QC listings'!$A$5:$A$200,$M143,'QC listings'!$C$5:$C$200,O$4,'QC listings'!$F$5:$F$200,"Listing page")+COUNTIFS('QC listings'!$A$5:$A$200,$M143,'QC listings'!$C$5:$C$200,O$4,'QC listings'!$F$5:$F$200,"Brand page")&gt;0,"Y",IF(COUNTIFS('QC listings'!$A$5:$A$200,$M143,'QC listings'!$C$5:$C$200,O$4)&gt;0,"?","–")))</f>
        <v/>
      </c>
      <c r="P143" s="12" t="str">
        <f aca="false">IF($M143="","",IF(COUNTIFS('QC listings'!$A$5:$A$200,$M143,'QC listings'!$C$5:$C$200,P$4,'QC listings'!$F$5:$F$200,"Listing page")+COUNTIFS('QC listings'!$A$5:$A$200,$M143,'QC listings'!$C$5:$C$200,P$4,'QC listings'!$F$5:$F$200,"Brand page")&gt;0,"Y",IF(COUNTIFS('QC listings'!$A$5:$A$200,$M143,'QC listings'!$C$5:$C$200,P$4)&gt;0,"?","–")))</f>
        <v/>
      </c>
      <c r="Q143" s="12" t="str">
        <f aca="false">IF($M143="","",IF(COUNTIFS('QC listings'!$A$5:$A$200,$M143,'QC listings'!$C$5:$C$200,Q$4,'QC listings'!$F$5:$F$200,"Listing page")+COUNTIFS('QC listings'!$A$5:$A$200,$M143,'QC listings'!$C$5:$C$200,Q$4,'QC listings'!$F$5:$F$200,"Brand page")&gt;0,"Y",IF(COUNTIFS('QC listings'!$A$5:$A$200,$M143,'QC listings'!$C$5:$C$200,Q$4)&gt;0,"?","–")))</f>
        <v/>
      </c>
      <c r="R143" s="12" t="str">
        <f aca="false">IF($M143="","",IF(COUNTIFS('QC listings'!$A$5:$A$200,$M143,'QC listings'!$C$5:$C$200,R$4,'QC listings'!$F$5:$F$200,"Listing page")+COUNTIFS('QC listings'!$A$5:$A$200,$M143,'QC listings'!$C$5:$C$200,R$4,'QC listings'!$F$5:$F$200,"Brand page")&gt;0,"Y",IF(COUNTIFS('QC listings'!$A$5:$A$200,$M143,'QC listings'!$C$5:$C$200,R$4)&gt;0,"?","–")))</f>
        <v/>
      </c>
      <c r="S143" s="12" t="str">
        <f aca="false">IF($M143="","",COUNTIF(O143:R143,"Y"))</f>
        <v/>
      </c>
      <c r="T143" s="23" t="str">
        <f aca="false">IF($M143="","",SUMPRODUCT(MAX(('QC listings'!$A$5:$A$200=$M143)*'QC listings'!$E$5:$E$200)))</f>
        <v/>
      </c>
      <c r="U143" s="12" t="str">
        <f aca="false">IF($M143="","",IF(T143&gt;=Scoring!$B$11,3,IF(T143&gt;=Scoring!$B$10,2,IF(T143&gt;=Scoring!$B$9,1,0))))</f>
        <v/>
      </c>
      <c r="V143" s="12" t="n">
        <f aca="false">IFERROR(INDEX(Scoring!$B$27:$B$56,MATCH($E143,Scoring!$A$27:$A$56,0)),0)</f>
        <v>0</v>
      </c>
      <c r="W143" s="24" t="n">
        <f aca="false">IF($G143="","",ROUND((Scoring!$B$5-$G143)/30.4375,1))</f>
        <v>7.1</v>
      </c>
      <c r="X143" s="12" t="n">
        <f aca="false">IF($F143="Expired",Scoring!$B$18,IF($G143="",Scoring!$B$17,IF(W143&lt;=Scoring!$B$12,Scoring!$B$13,IF(W143&lt;=Scoring!$B$14,Scoring!$B$15,Scoring!$B$16))))</f>
        <v>0</v>
      </c>
      <c r="Y143" s="15" t="str">
        <f aca="false">IF($M143="","",ROUND((S143*Scoring!$B$6+U143*Scoring!$B$7)*IFERROR(INDEX(Scoring!$B$22:$B$24,MATCH($N143,Scoring!$A$22:$A$24,0)),1)+V143*Scoring!$B$8+X143,2))</f>
        <v/>
      </c>
      <c r="Z143" s="12" t="str">
        <f aca="false">IF($M143="","",IF(SUMPRODUCT(($M$5:$M$249=$M143)*($G$5:$G$249&gt;$G143))&gt;0,0,IF(SUMPRODUCT(($M$5:$M$249=$M143)*($G$5:$G$249=$G143)*(ROW($M$5:$M$249)&lt;ROW($M143)))&gt;0,0,1)))</f>
        <v/>
      </c>
      <c r="AA143" s="12" t="str">
        <f aca="false">IF($Z143=1,RANK($AE143,$AE$5:$AE$249,0),"")</f>
        <v/>
      </c>
      <c r="AB143" s="7" t="s">
        <v>153</v>
      </c>
      <c r="AC143" s="6" t="s">
        <v>642</v>
      </c>
      <c r="AD143" s="6"/>
      <c r="AE143" s="25" t="str">
        <f aca="false">IF($Z143=1,$Y143+$T143/1000000000-ROW()/10000000,"")</f>
        <v/>
      </c>
    </row>
    <row r="144" customFormat="false" ht="23.85" hidden="false" customHeight="false" outlineLevel="0" collapsed="false">
      <c r="A144" s="7" t="s">
        <v>852</v>
      </c>
      <c r="B144" s="6" t="s">
        <v>853</v>
      </c>
      <c r="C144" s="6" t="s">
        <v>854</v>
      </c>
      <c r="D144" s="7" t="s">
        <v>757</v>
      </c>
      <c r="E144" s="7" t="s">
        <v>801</v>
      </c>
      <c r="F144" s="12" t="s">
        <v>158</v>
      </c>
      <c r="G144" s="13" t="n">
        <v>45882</v>
      </c>
      <c r="H144" s="7" t="s">
        <v>855</v>
      </c>
      <c r="I144" s="6" t="s">
        <v>149</v>
      </c>
      <c r="J144" s="7" t="s">
        <v>60</v>
      </c>
      <c r="K144" s="12"/>
      <c r="L144" s="10" t="s">
        <v>856</v>
      </c>
      <c r="M144" s="7"/>
      <c r="N144" s="12"/>
      <c r="O144" s="12" t="str">
        <f aca="false">IF($M144="","",IF(COUNTIFS('QC listings'!$A$5:$A$200,$M144,'QC listings'!$C$5:$C$200,O$4,'QC listings'!$F$5:$F$200,"Listing page")+COUNTIFS('QC listings'!$A$5:$A$200,$M144,'QC listings'!$C$5:$C$200,O$4,'QC listings'!$F$5:$F$200,"Brand page")&gt;0,"Y",IF(COUNTIFS('QC listings'!$A$5:$A$200,$M144,'QC listings'!$C$5:$C$200,O$4)&gt;0,"?","–")))</f>
        <v/>
      </c>
      <c r="P144" s="12" t="str">
        <f aca="false">IF($M144="","",IF(COUNTIFS('QC listings'!$A$5:$A$200,$M144,'QC listings'!$C$5:$C$200,P$4,'QC listings'!$F$5:$F$200,"Listing page")+COUNTIFS('QC listings'!$A$5:$A$200,$M144,'QC listings'!$C$5:$C$200,P$4,'QC listings'!$F$5:$F$200,"Brand page")&gt;0,"Y",IF(COUNTIFS('QC listings'!$A$5:$A$200,$M144,'QC listings'!$C$5:$C$200,P$4)&gt;0,"?","–")))</f>
        <v/>
      </c>
      <c r="Q144" s="12" t="str">
        <f aca="false">IF($M144="","",IF(COUNTIFS('QC listings'!$A$5:$A$200,$M144,'QC listings'!$C$5:$C$200,Q$4,'QC listings'!$F$5:$F$200,"Listing page")+COUNTIFS('QC listings'!$A$5:$A$200,$M144,'QC listings'!$C$5:$C$200,Q$4,'QC listings'!$F$5:$F$200,"Brand page")&gt;0,"Y",IF(COUNTIFS('QC listings'!$A$5:$A$200,$M144,'QC listings'!$C$5:$C$200,Q$4)&gt;0,"?","–")))</f>
        <v/>
      </c>
      <c r="R144" s="12" t="str">
        <f aca="false">IF($M144="","",IF(COUNTIFS('QC listings'!$A$5:$A$200,$M144,'QC listings'!$C$5:$C$200,R$4,'QC listings'!$F$5:$F$200,"Listing page")+COUNTIFS('QC listings'!$A$5:$A$200,$M144,'QC listings'!$C$5:$C$200,R$4,'QC listings'!$F$5:$F$200,"Brand page")&gt;0,"Y",IF(COUNTIFS('QC listings'!$A$5:$A$200,$M144,'QC listings'!$C$5:$C$200,R$4)&gt;0,"?","–")))</f>
        <v/>
      </c>
      <c r="S144" s="12" t="str">
        <f aca="false">IF($M144="","",COUNTIF(O144:R144,"Y"))</f>
        <v/>
      </c>
      <c r="T144" s="23" t="str">
        <f aca="false">IF($M144="","",SUMPRODUCT(MAX(('QC listings'!$A$5:$A$200=$M144)*'QC listings'!$E$5:$E$200)))</f>
        <v/>
      </c>
      <c r="U144" s="12" t="str">
        <f aca="false">IF($M144="","",IF(T144&gt;=Scoring!$B$11,3,IF(T144&gt;=Scoring!$B$10,2,IF(T144&gt;=Scoring!$B$9,1,0))))</f>
        <v/>
      </c>
      <c r="V144" s="12" t="n">
        <f aca="false">IFERROR(INDEX(Scoring!$B$27:$B$56,MATCH($E144,Scoring!$A$27:$A$56,0)),0)</f>
        <v>0</v>
      </c>
      <c r="W144" s="24" t="n">
        <f aca="false">IF($G144="","",ROUND((Scoring!$B$5-$G144)/30.4375,1))</f>
        <v>13.6</v>
      </c>
      <c r="X144" s="12" t="n">
        <f aca="false">IF($F144="Expired",Scoring!$B$18,IF($G144="",Scoring!$B$17,IF(W144&lt;=Scoring!$B$12,Scoring!$B$13,IF(W144&lt;=Scoring!$B$14,Scoring!$B$15,Scoring!$B$16))))</f>
        <v>1</v>
      </c>
      <c r="Y144" s="15" t="str">
        <f aca="false">IF($M144="","",ROUND((S144*Scoring!$B$6+U144*Scoring!$B$7)*IFERROR(INDEX(Scoring!$B$22:$B$24,MATCH($N144,Scoring!$A$22:$A$24,0)),1)+V144*Scoring!$B$8+X144,2))</f>
        <v/>
      </c>
      <c r="Z144" s="12" t="str">
        <f aca="false">IF($M144="","",IF(SUMPRODUCT(($M$5:$M$249=$M144)*($G$5:$G$249&gt;$G144))&gt;0,0,IF(SUMPRODUCT(($M$5:$M$249=$M144)*($G$5:$G$249=$G144)*(ROW($M$5:$M$249)&lt;ROW($M144)))&gt;0,0,1)))</f>
        <v/>
      </c>
      <c r="AA144" s="12" t="str">
        <f aca="false">IF($Z144=1,RANK($AE144,$AE$5:$AE$249,0),"")</f>
        <v/>
      </c>
      <c r="AB144" s="7" t="s">
        <v>153</v>
      </c>
      <c r="AC144" s="6" t="s">
        <v>162</v>
      </c>
      <c r="AD144" s="6"/>
      <c r="AE144" s="25" t="str">
        <f aca="false">IF($Z144=1,$Y144+$T144/1000000000-ROW()/10000000,"")</f>
        <v/>
      </c>
    </row>
    <row r="145" customFormat="false" ht="23.85" hidden="false" customHeight="false" outlineLevel="0" collapsed="false">
      <c r="A145" s="7" t="s">
        <v>857</v>
      </c>
      <c r="B145" s="6" t="s">
        <v>858</v>
      </c>
      <c r="C145" s="6" t="s">
        <v>859</v>
      </c>
      <c r="D145" s="7" t="s">
        <v>757</v>
      </c>
      <c r="E145" s="7" t="s">
        <v>801</v>
      </c>
      <c r="F145" s="12" t="s">
        <v>158</v>
      </c>
      <c r="G145" s="13" t="n">
        <v>45407</v>
      </c>
      <c r="H145" s="7" t="s">
        <v>860</v>
      </c>
      <c r="I145" s="6" t="s">
        <v>149</v>
      </c>
      <c r="J145" s="7" t="s">
        <v>60</v>
      </c>
      <c r="K145" s="12"/>
      <c r="L145" s="10" t="s">
        <v>861</v>
      </c>
      <c r="M145" s="7"/>
      <c r="N145" s="12"/>
      <c r="O145" s="12" t="str">
        <f aca="false">IF($M145="","",IF(COUNTIFS('QC listings'!$A$5:$A$200,$M145,'QC listings'!$C$5:$C$200,O$4,'QC listings'!$F$5:$F$200,"Listing page")+COUNTIFS('QC listings'!$A$5:$A$200,$M145,'QC listings'!$C$5:$C$200,O$4,'QC listings'!$F$5:$F$200,"Brand page")&gt;0,"Y",IF(COUNTIFS('QC listings'!$A$5:$A$200,$M145,'QC listings'!$C$5:$C$200,O$4)&gt;0,"?","–")))</f>
        <v/>
      </c>
      <c r="P145" s="12" t="str">
        <f aca="false">IF($M145="","",IF(COUNTIFS('QC listings'!$A$5:$A$200,$M145,'QC listings'!$C$5:$C$200,P$4,'QC listings'!$F$5:$F$200,"Listing page")+COUNTIFS('QC listings'!$A$5:$A$200,$M145,'QC listings'!$C$5:$C$200,P$4,'QC listings'!$F$5:$F$200,"Brand page")&gt;0,"Y",IF(COUNTIFS('QC listings'!$A$5:$A$200,$M145,'QC listings'!$C$5:$C$200,P$4)&gt;0,"?","–")))</f>
        <v/>
      </c>
      <c r="Q145" s="12" t="str">
        <f aca="false">IF($M145="","",IF(COUNTIFS('QC listings'!$A$5:$A$200,$M145,'QC listings'!$C$5:$C$200,Q$4,'QC listings'!$F$5:$F$200,"Listing page")+COUNTIFS('QC listings'!$A$5:$A$200,$M145,'QC listings'!$C$5:$C$200,Q$4,'QC listings'!$F$5:$F$200,"Brand page")&gt;0,"Y",IF(COUNTIFS('QC listings'!$A$5:$A$200,$M145,'QC listings'!$C$5:$C$200,Q$4)&gt;0,"?","–")))</f>
        <v/>
      </c>
      <c r="R145" s="12" t="str">
        <f aca="false">IF($M145="","",IF(COUNTIFS('QC listings'!$A$5:$A$200,$M145,'QC listings'!$C$5:$C$200,R$4,'QC listings'!$F$5:$F$200,"Listing page")+COUNTIFS('QC listings'!$A$5:$A$200,$M145,'QC listings'!$C$5:$C$200,R$4,'QC listings'!$F$5:$F$200,"Brand page")&gt;0,"Y",IF(COUNTIFS('QC listings'!$A$5:$A$200,$M145,'QC listings'!$C$5:$C$200,R$4)&gt;0,"?","–")))</f>
        <v/>
      </c>
      <c r="S145" s="12" t="str">
        <f aca="false">IF($M145="","",COUNTIF(O145:R145,"Y"))</f>
        <v/>
      </c>
      <c r="T145" s="23" t="str">
        <f aca="false">IF($M145="","",SUMPRODUCT(MAX(('QC listings'!$A$5:$A$200=$M145)*'QC listings'!$E$5:$E$200)))</f>
        <v/>
      </c>
      <c r="U145" s="12" t="str">
        <f aca="false">IF($M145="","",IF(T145&gt;=Scoring!$B$11,3,IF(T145&gt;=Scoring!$B$10,2,IF(T145&gt;=Scoring!$B$9,1,0))))</f>
        <v/>
      </c>
      <c r="V145" s="12" t="n">
        <f aca="false">IFERROR(INDEX(Scoring!$B$27:$B$56,MATCH($E145,Scoring!$A$27:$A$56,0)),0)</f>
        <v>0</v>
      </c>
      <c r="W145" s="24" t="n">
        <f aca="false">IF($G145="","",ROUND((Scoring!$B$5-$G145)/30.4375,1))</f>
        <v>29.2</v>
      </c>
      <c r="X145" s="12" t="n">
        <f aca="false">IF($F145="Expired",Scoring!$B$18,IF($G145="",Scoring!$B$17,IF(W145&lt;=Scoring!$B$12,Scoring!$B$13,IF(W145&lt;=Scoring!$B$14,Scoring!$B$15,Scoring!$B$16))))</f>
        <v>0</v>
      </c>
      <c r="Y145" s="15" t="str">
        <f aca="false">IF($M145="","",ROUND((S145*Scoring!$B$6+U145*Scoring!$B$7)*IFERROR(INDEX(Scoring!$B$22:$B$24,MATCH($N145,Scoring!$A$22:$A$24,0)),1)+V145*Scoring!$B$8+X145,2))</f>
        <v/>
      </c>
      <c r="Z145" s="12" t="str">
        <f aca="false">IF($M145="","",IF(SUMPRODUCT(($M$5:$M$249=$M145)*($G$5:$G$249&gt;$G145))&gt;0,0,IF(SUMPRODUCT(($M$5:$M$249=$M145)*($G$5:$G$249=$G145)*(ROW($M$5:$M$249)&lt;ROW($M145)))&gt;0,0,1)))</f>
        <v/>
      </c>
      <c r="AA145" s="12" t="str">
        <f aca="false">IF($Z145=1,RANK($AE145,$AE$5:$AE$249,0),"")</f>
        <v/>
      </c>
      <c r="AB145" s="7" t="s">
        <v>153</v>
      </c>
      <c r="AC145" s="6" t="s">
        <v>162</v>
      </c>
      <c r="AD145" s="6"/>
      <c r="AE145" s="25" t="str">
        <f aca="false">IF($Z145=1,$Y145+$T145/1000000000-ROW()/10000000,"")</f>
        <v/>
      </c>
    </row>
    <row r="146" customFormat="false" ht="23.85" hidden="false" customHeight="false" outlineLevel="0" collapsed="false">
      <c r="A146" s="7" t="s">
        <v>862</v>
      </c>
      <c r="B146" s="6" t="s">
        <v>863</v>
      </c>
      <c r="C146" s="6" t="s">
        <v>864</v>
      </c>
      <c r="D146" s="7" t="s">
        <v>757</v>
      </c>
      <c r="E146" s="7" t="s">
        <v>801</v>
      </c>
      <c r="F146" s="12" t="s">
        <v>549</v>
      </c>
      <c r="G146" s="13" t="n">
        <v>45630</v>
      </c>
      <c r="H146" s="7" t="s">
        <v>865</v>
      </c>
      <c r="I146" s="6" t="s">
        <v>149</v>
      </c>
      <c r="J146" s="7" t="s">
        <v>60</v>
      </c>
      <c r="K146" s="12"/>
      <c r="L146" s="10" t="s">
        <v>866</v>
      </c>
      <c r="M146" s="7"/>
      <c r="N146" s="12"/>
      <c r="O146" s="12" t="str">
        <f aca="false">IF($M146="","",IF(COUNTIFS('QC listings'!$A$5:$A$200,$M146,'QC listings'!$C$5:$C$200,O$4,'QC listings'!$F$5:$F$200,"Listing page")+COUNTIFS('QC listings'!$A$5:$A$200,$M146,'QC listings'!$C$5:$C$200,O$4,'QC listings'!$F$5:$F$200,"Brand page")&gt;0,"Y",IF(COUNTIFS('QC listings'!$A$5:$A$200,$M146,'QC listings'!$C$5:$C$200,O$4)&gt;0,"?","–")))</f>
        <v/>
      </c>
      <c r="P146" s="12" t="str">
        <f aca="false">IF($M146="","",IF(COUNTIFS('QC listings'!$A$5:$A$200,$M146,'QC listings'!$C$5:$C$200,P$4,'QC listings'!$F$5:$F$200,"Listing page")+COUNTIFS('QC listings'!$A$5:$A$200,$M146,'QC listings'!$C$5:$C$200,P$4,'QC listings'!$F$5:$F$200,"Brand page")&gt;0,"Y",IF(COUNTIFS('QC listings'!$A$5:$A$200,$M146,'QC listings'!$C$5:$C$200,P$4)&gt;0,"?","–")))</f>
        <v/>
      </c>
      <c r="Q146" s="12" t="str">
        <f aca="false">IF($M146="","",IF(COUNTIFS('QC listings'!$A$5:$A$200,$M146,'QC listings'!$C$5:$C$200,Q$4,'QC listings'!$F$5:$F$200,"Listing page")+COUNTIFS('QC listings'!$A$5:$A$200,$M146,'QC listings'!$C$5:$C$200,Q$4,'QC listings'!$F$5:$F$200,"Brand page")&gt;0,"Y",IF(COUNTIFS('QC listings'!$A$5:$A$200,$M146,'QC listings'!$C$5:$C$200,Q$4)&gt;0,"?","–")))</f>
        <v/>
      </c>
      <c r="R146" s="12" t="str">
        <f aca="false">IF($M146="","",IF(COUNTIFS('QC listings'!$A$5:$A$200,$M146,'QC listings'!$C$5:$C$200,R$4,'QC listings'!$F$5:$F$200,"Listing page")+COUNTIFS('QC listings'!$A$5:$A$200,$M146,'QC listings'!$C$5:$C$200,R$4,'QC listings'!$F$5:$F$200,"Brand page")&gt;0,"Y",IF(COUNTIFS('QC listings'!$A$5:$A$200,$M146,'QC listings'!$C$5:$C$200,R$4)&gt;0,"?","–")))</f>
        <v/>
      </c>
      <c r="S146" s="12" t="str">
        <f aca="false">IF($M146="","",COUNTIF(O146:R146,"Y"))</f>
        <v/>
      </c>
      <c r="T146" s="23" t="str">
        <f aca="false">IF($M146="","",SUMPRODUCT(MAX(('QC listings'!$A$5:$A$200=$M146)*'QC listings'!$E$5:$E$200)))</f>
        <v/>
      </c>
      <c r="U146" s="12" t="str">
        <f aca="false">IF($M146="","",IF(T146&gt;=Scoring!$B$11,3,IF(T146&gt;=Scoring!$B$10,2,IF(T146&gt;=Scoring!$B$9,1,0))))</f>
        <v/>
      </c>
      <c r="V146" s="12" t="n">
        <f aca="false">IFERROR(INDEX(Scoring!$B$27:$B$56,MATCH($E146,Scoring!$A$27:$A$56,0)),0)</f>
        <v>0</v>
      </c>
      <c r="W146" s="24" t="n">
        <f aca="false">IF($G146="","",ROUND((Scoring!$B$5-$G146)/30.4375,1))</f>
        <v>21.9</v>
      </c>
      <c r="X146" s="12" t="n">
        <f aca="false">IF($F146="Expired",Scoring!$B$18,IF($G146="",Scoring!$B$17,IF(W146&lt;=Scoring!$B$12,Scoring!$B$13,IF(W146&lt;=Scoring!$B$14,Scoring!$B$15,Scoring!$B$16))))</f>
        <v>0</v>
      </c>
      <c r="Y146" s="15" t="str">
        <f aca="false">IF($M146="","",ROUND((S146*Scoring!$B$6+U146*Scoring!$B$7)*IFERROR(INDEX(Scoring!$B$22:$B$24,MATCH($N146,Scoring!$A$22:$A$24,0)),1)+V146*Scoring!$B$8+X146,2))</f>
        <v/>
      </c>
      <c r="Z146" s="12" t="str">
        <f aca="false">IF($M146="","",IF(SUMPRODUCT(($M$5:$M$249=$M146)*($G$5:$G$249&gt;$G146))&gt;0,0,IF(SUMPRODUCT(($M$5:$M$249=$M146)*($G$5:$G$249=$G146)*(ROW($M$5:$M$249)&lt;ROW($M146)))&gt;0,0,1)))</f>
        <v/>
      </c>
      <c r="AA146" s="12" t="str">
        <f aca="false">IF($Z146=1,RANK($AE146,$AE$5:$AE$249,0),"")</f>
        <v/>
      </c>
      <c r="AB146" s="7" t="s">
        <v>153</v>
      </c>
      <c r="AC146" s="6" t="s">
        <v>642</v>
      </c>
      <c r="AD146" s="6"/>
      <c r="AE146" s="25" t="str">
        <f aca="false">IF($Z146=1,$Y146+$T146/1000000000-ROW()/10000000,"")</f>
        <v/>
      </c>
    </row>
    <row r="147" customFormat="false" ht="23.85" hidden="false" customHeight="false" outlineLevel="0" collapsed="false">
      <c r="A147" s="7" t="s">
        <v>867</v>
      </c>
      <c r="B147" s="6" t="s">
        <v>868</v>
      </c>
      <c r="C147" s="6" t="s">
        <v>869</v>
      </c>
      <c r="D147" s="7" t="s">
        <v>757</v>
      </c>
      <c r="E147" s="7" t="s">
        <v>801</v>
      </c>
      <c r="F147" s="12" t="s">
        <v>158</v>
      </c>
      <c r="G147" s="13" t="n">
        <v>45466</v>
      </c>
      <c r="H147" s="7" t="s">
        <v>870</v>
      </c>
      <c r="I147" s="6" t="s">
        <v>149</v>
      </c>
      <c r="J147" s="7" t="s">
        <v>60</v>
      </c>
      <c r="K147" s="12"/>
      <c r="L147" s="10" t="s">
        <v>871</v>
      </c>
      <c r="M147" s="7"/>
      <c r="N147" s="12"/>
      <c r="O147" s="12" t="str">
        <f aca="false">IF($M147="","",IF(COUNTIFS('QC listings'!$A$5:$A$200,$M147,'QC listings'!$C$5:$C$200,O$4,'QC listings'!$F$5:$F$200,"Listing page")+COUNTIFS('QC listings'!$A$5:$A$200,$M147,'QC listings'!$C$5:$C$200,O$4,'QC listings'!$F$5:$F$200,"Brand page")&gt;0,"Y",IF(COUNTIFS('QC listings'!$A$5:$A$200,$M147,'QC listings'!$C$5:$C$200,O$4)&gt;0,"?","–")))</f>
        <v/>
      </c>
      <c r="P147" s="12" t="str">
        <f aca="false">IF($M147="","",IF(COUNTIFS('QC listings'!$A$5:$A$200,$M147,'QC listings'!$C$5:$C$200,P$4,'QC listings'!$F$5:$F$200,"Listing page")+COUNTIFS('QC listings'!$A$5:$A$200,$M147,'QC listings'!$C$5:$C$200,P$4,'QC listings'!$F$5:$F$200,"Brand page")&gt;0,"Y",IF(COUNTIFS('QC listings'!$A$5:$A$200,$M147,'QC listings'!$C$5:$C$200,P$4)&gt;0,"?","–")))</f>
        <v/>
      </c>
      <c r="Q147" s="12" t="str">
        <f aca="false">IF($M147="","",IF(COUNTIFS('QC listings'!$A$5:$A$200,$M147,'QC listings'!$C$5:$C$200,Q$4,'QC listings'!$F$5:$F$200,"Listing page")+COUNTIFS('QC listings'!$A$5:$A$200,$M147,'QC listings'!$C$5:$C$200,Q$4,'QC listings'!$F$5:$F$200,"Brand page")&gt;0,"Y",IF(COUNTIFS('QC listings'!$A$5:$A$200,$M147,'QC listings'!$C$5:$C$200,Q$4)&gt;0,"?","–")))</f>
        <v/>
      </c>
      <c r="R147" s="12" t="str">
        <f aca="false">IF($M147="","",IF(COUNTIFS('QC listings'!$A$5:$A$200,$M147,'QC listings'!$C$5:$C$200,R$4,'QC listings'!$F$5:$F$200,"Listing page")+COUNTIFS('QC listings'!$A$5:$A$200,$M147,'QC listings'!$C$5:$C$200,R$4,'QC listings'!$F$5:$F$200,"Brand page")&gt;0,"Y",IF(COUNTIFS('QC listings'!$A$5:$A$200,$M147,'QC listings'!$C$5:$C$200,R$4)&gt;0,"?","–")))</f>
        <v/>
      </c>
      <c r="S147" s="12" t="str">
        <f aca="false">IF($M147="","",COUNTIF(O147:R147,"Y"))</f>
        <v/>
      </c>
      <c r="T147" s="23" t="str">
        <f aca="false">IF($M147="","",SUMPRODUCT(MAX(('QC listings'!$A$5:$A$200=$M147)*'QC listings'!$E$5:$E$200)))</f>
        <v/>
      </c>
      <c r="U147" s="12" t="str">
        <f aca="false">IF($M147="","",IF(T147&gt;=Scoring!$B$11,3,IF(T147&gt;=Scoring!$B$10,2,IF(T147&gt;=Scoring!$B$9,1,0))))</f>
        <v/>
      </c>
      <c r="V147" s="12" t="n">
        <f aca="false">IFERROR(INDEX(Scoring!$B$27:$B$56,MATCH($E147,Scoring!$A$27:$A$56,0)),0)</f>
        <v>0</v>
      </c>
      <c r="W147" s="24" t="n">
        <f aca="false">IF($G147="","",ROUND((Scoring!$B$5-$G147)/30.4375,1))</f>
        <v>27.3</v>
      </c>
      <c r="X147" s="12" t="n">
        <f aca="false">IF($F147="Expired",Scoring!$B$18,IF($G147="",Scoring!$B$17,IF(W147&lt;=Scoring!$B$12,Scoring!$B$13,IF(W147&lt;=Scoring!$B$14,Scoring!$B$15,Scoring!$B$16))))</f>
        <v>0</v>
      </c>
      <c r="Y147" s="15" t="str">
        <f aca="false">IF($M147="","",ROUND((S147*Scoring!$B$6+U147*Scoring!$B$7)*IFERROR(INDEX(Scoring!$B$22:$B$24,MATCH($N147,Scoring!$A$22:$A$24,0)),1)+V147*Scoring!$B$8+X147,2))</f>
        <v/>
      </c>
      <c r="Z147" s="12" t="str">
        <f aca="false">IF($M147="","",IF(SUMPRODUCT(($M$5:$M$249=$M147)*($G$5:$G$249&gt;$G147))&gt;0,0,IF(SUMPRODUCT(($M$5:$M$249=$M147)*($G$5:$G$249=$G147)*(ROW($M$5:$M$249)&lt;ROW($M147)))&gt;0,0,1)))</f>
        <v/>
      </c>
      <c r="AA147" s="12" t="str">
        <f aca="false">IF($Z147=1,RANK($AE147,$AE$5:$AE$249,0),"")</f>
        <v/>
      </c>
      <c r="AB147" s="7" t="s">
        <v>153</v>
      </c>
      <c r="AC147" s="6" t="s">
        <v>162</v>
      </c>
      <c r="AD147" s="6"/>
      <c r="AE147" s="25" t="str">
        <f aca="false">IF($Z147=1,$Y147+$T147/1000000000-ROW()/10000000,"")</f>
        <v/>
      </c>
    </row>
    <row r="148" customFormat="false" ht="23.85" hidden="false" customHeight="false" outlineLevel="0" collapsed="false">
      <c r="A148" s="7" t="s">
        <v>872</v>
      </c>
      <c r="B148" s="6" t="s">
        <v>873</v>
      </c>
      <c r="C148" s="6" t="s">
        <v>874</v>
      </c>
      <c r="D148" s="7" t="s">
        <v>757</v>
      </c>
      <c r="E148" s="7" t="s">
        <v>801</v>
      </c>
      <c r="F148" s="12" t="s">
        <v>158</v>
      </c>
      <c r="G148" s="13" t="n">
        <v>45844</v>
      </c>
      <c r="H148" s="7" t="s">
        <v>875</v>
      </c>
      <c r="I148" s="6" t="s">
        <v>149</v>
      </c>
      <c r="J148" s="7" t="s">
        <v>60</v>
      </c>
      <c r="K148" s="12"/>
      <c r="L148" s="10" t="s">
        <v>876</v>
      </c>
      <c r="M148" s="7"/>
      <c r="N148" s="12"/>
      <c r="O148" s="12" t="str">
        <f aca="false">IF($M148="","",IF(COUNTIFS('QC listings'!$A$5:$A$200,$M148,'QC listings'!$C$5:$C$200,O$4,'QC listings'!$F$5:$F$200,"Listing page")+COUNTIFS('QC listings'!$A$5:$A$200,$M148,'QC listings'!$C$5:$C$200,O$4,'QC listings'!$F$5:$F$200,"Brand page")&gt;0,"Y",IF(COUNTIFS('QC listings'!$A$5:$A$200,$M148,'QC listings'!$C$5:$C$200,O$4)&gt;0,"?","–")))</f>
        <v/>
      </c>
      <c r="P148" s="12" t="str">
        <f aca="false">IF($M148="","",IF(COUNTIFS('QC listings'!$A$5:$A$200,$M148,'QC listings'!$C$5:$C$200,P$4,'QC listings'!$F$5:$F$200,"Listing page")+COUNTIFS('QC listings'!$A$5:$A$200,$M148,'QC listings'!$C$5:$C$200,P$4,'QC listings'!$F$5:$F$200,"Brand page")&gt;0,"Y",IF(COUNTIFS('QC listings'!$A$5:$A$200,$M148,'QC listings'!$C$5:$C$200,P$4)&gt;0,"?","–")))</f>
        <v/>
      </c>
      <c r="Q148" s="12" t="str">
        <f aca="false">IF($M148="","",IF(COUNTIFS('QC listings'!$A$5:$A$200,$M148,'QC listings'!$C$5:$C$200,Q$4,'QC listings'!$F$5:$F$200,"Listing page")+COUNTIFS('QC listings'!$A$5:$A$200,$M148,'QC listings'!$C$5:$C$200,Q$4,'QC listings'!$F$5:$F$200,"Brand page")&gt;0,"Y",IF(COUNTIFS('QC listings'!$A$5:$A$200,$M148,'QC listings'!$C$5:$C$200,Q$4)&gt;0,"?","–")))</f>
        <v/>
      </c>
      <c r="R148" s="12" t="str">
        <f aca="false">IF($M148="","",IF(COUNTIFS('QC listings'!$A$5:$A$200,$M148,'QC listings'!$C$5:$C$200,R$4,'QC listings'!$F$5:$F$200,"Listing page")+COUNTIFS('QC listings'!$A$5:$A$200,$M148,'QC listings'!$C$5:$C$200,R$4,'QC listings'!$F$5:$F$200,"Brand page")&gt;0,"Y",IF(COUNTIFS('QC listings'!$A$5:$A$200,$M148,'QC listings'!$C$5:$C$200,R$4)&gt;0,"?","–")))</f>
        <v/>
      </c>
      <c r="S148" s="12" t="str">
        <f aca="false">IF($M148="","",COUNTIF(O148:R148,"Y"))</f>
        <v/>
      </c>
      <c r="T148" s="23" t="str">
        <f aca="false">IF($M148="","",SUMPRODUCT(MAX(('QC listings'!$A$5:$A$200=$M148)*'QC listings'!$E$5:$E$200)))</f>
        <v/>
      </c>
      <c r="U148" s="12" t="str">
        <f aca="false">IF($M148="","",IF(T148&gt;=Scoring!$B$11,3,IF(T148&gt;=Scoring!$B$10,2,IF(T148&gt;=Scoring!$B$9,1,0))))</f>
        <v/>
      </c>
      <c r="V148" s="12" t="n">
        <f aca="false">IFERROR(INDEX(Scoring!$B$27:$B$56,MATCH($E148,Scoring!$A$27:$A$56,0)),0)</f>
        <v>0</v>
      </c>
      <c r="W148" s="24" t="n">
        <f aca="false">IF($G148="","",ROUND((Scoring!$B$5-$G148)/30.4375,1))</f>
        <v>14.9</v>
      </c>
      <c r="X148" s="12" t="n">
        <f aca="false">IF($F148="Expired",Scoring!$B$18,IF($G148="",Scoring!$B$17,IF(W148&lt;=Scoring!$B$12,Scoring!$B$13,IF(W148&lt;=Scoring!$B$14,Scoring!$B$15,Scoring!$B$16))))</f>
        <v>1</v>
      </c>
      <c r="Y148" s="15" t="str">
        <f aca="false">IF($M148="","",ROUND((S148*Scoring!$B$6+U148*Scoring!$B$7)*IFERROR(INDEX(Scoring!$B$22:$B$24,MATCH($N148,Scoring!$A$22:$A$24,0)),1)+V148*Scoring!$B$8+X148,2))</f>
        <v/>
      </c>
      <c r="Z148" s="12" t="str">
        <f aca="false">IF($M148="","",IF(SUMPRODUCT(($M$5:$M$249=$M148)*($G$5:$G$249&gt;$G148))&gt;0,0,IF(SUMPRODUCT(($M$5:$M$249=$M148)*($G$5:$G$249=$G148)*(ROW($M$5:$M$249)&lt;ROW($M148)))&gt;0,0,1)))</f>
        <v/>
      </c>
      <c r="AA148" s="12" t="str">
        <f aca="false">IF($Z148=1,RANK($AE148,$AE$5:$AE$249,0),"")</f>
        <v/>
      </c>
      <c r="AB148" s="7" t="s">
        <v>153</v>
      </c>
      <c r="AC148" s="6" t="s">
        <v>162</v>
      </c>
      <c r="AD148" s="6"/>
      <c r="AE148" s="25" t="str">
        <f aca="false">IF($Z148=1,$Y148+$T148/1000000000-ROW()/10000000,"")</f>
        <v/>
      </c>
    </row>
    <row r="149" customFormat="false" ht="23.85" hidden="false" customHeight="false" outlineLevel="0" collapsed="false">
      <c r="A149" s="7" t="s">
        <v>877</v>
      </c>
      <c r="B149" s="6" t="s">
        <v>878</v>
      </c>
      <c r="C149" s="6" t="s">
        <v>879</v>
      </c>
      <c r="D149" s="7" t="s">
        <v>757</v>
      </c>
      <c r="E149" s="7" t="s">
        <v>801</v>
      </c>
      <c r="F149" s="12" t="s">
        <v>549</v>
      </c>
      <c r="G149" s="13" t="n">
        <v>45247</v>
      </c>
      <c r="H149" s="7" t="s">
        <v>880</v>
      </c>
      <c r="I149" s="6" t="s">
        <v>149</v>
      </c>
      <c r="J149" s="7" t="s">
        <v>60</v>
      </c>
      <c r="K149" s="12"/>
      <c r="L149" s="10" t="s">
        <v>881</v>
      </c>
      <c r="M149" s="7"/>
      <c r="N149" s="12"/>
      <c r="O149" s="12" t="str">
        <f aca="false">IF($M149="","",IF(COUNTIFS('QC listings'!$A$5:$A$200,$M149,'QC listings'!$C$5:$C$200,O$4,'QC listings'!$F$5:$F$200,"Listing page")+COUNTIFS('QC listings'!$A$5:$A$200,$M149,'QC listings'!$C$5:$C$200,O$4,'QC listings'!$F$5:$F$200,"Brand page")&gt;0,"Y",IF(COUNTIFS('QC listings'!$A$5:$A$200,$M149,'QC listings'!$C$5:$C$200,O$4)&gt;0,"?","–")))</f>
        <v/>
      </c>
      <c r="P149" s="12" t="str">
        <f aca="false">IF($M149="","",IF(COUNTIFS('QC listings'!$A$5:$A$200,$M149,'QC listings'!$C$5:$C$200,P$4,'QC listings'!$F$5:$F$200,"Listing page")+COUNTIFS('QC listings'!$A$5:$A$200,$M149,'QC listings'!$C$5:$C$200,P$4,'QC listings'!$F$5:$F$200,"Brand page")&gt;0,"Y",IF(COUNTIFS('QC listings'!$A$5:$A$200,$M149,'QC listings'!$C$5:$C$200,P$4)&gt;0,"?","–")))</f>
        <v/>
      </c>
      <c r="Q149" s="12" t="str">
        <f aca="false">IF($M149="","",IF(COUNTIFS('QC listings'!$A$5:$A$200,$M149,'QC listings'!$C$5:$C$200,Q$4,'QC listings'!$F$5:$F$200,"Listing page")+COUNTIFS('QC listings'!$A$5:$A$200,$M149,'QC listings'!$C$5:$C$200,Q$4,'QC listings'!$F$5:$F$200,"Brand page")&gt;0,"Y",IF(COUNTIFS('QC listings'!$A$5:$A$200,$M149,'QC listings'!$C$5:$C$200,Q$4)&gt;0,"?","–")))</f>
        <v/>
      </c>
      <c r="R149" s="12" t="str">
        <f aca="false">IF($M149="","",IF(COUNTIFS('QC listings'!$A$5:$A$200,$M149,'QC listings'!$C$5:$C$200,R$4,'QC listings'!$F$5:$F$200,"Listing page")+COUNTIFS('QC listings'!$A$5:$A$200,$M149,'QC listings'!$C$5:$C$200,R$4,'QC listings'!$F$5:$F$200,"Brand page")&gt;0,"Y",IF(COUNTIFS('QC listings'!$A$5:$A$200,$M149,'QC listings'!$C$5:$C$200,R$4)&gt;0,"?","–")))</f>
        <v/>
      </c>
      <c r="S149" s="12" t="str">
        <f aca="false">IF($M149="","",COUNTIF(O149:R149,"Y"))</f>
        <v/>
      </c>
      <c r="T149" s="23" t="str">
        <f aca="false">IF($M149="","",SUMPRODUCT(MAX(('QC listings'!$A$5:$A$200=$M149)*'QC listings'!$E$5:$E$200)))</f>
        <v/>
      </c>
      <c r="U149" s="12" t="str">
        <f aca="false">IF($M149="","",IF(T149&gt;=Scoring!$B$11,3,IF(T149&gt;=Scoring!$B$10,2,IF(T149&gt;=Scoring!$B$9,1,0))))</f>
        <v/>
      </c>
      <c r="V149" s="12" t="n">
        <f aca="false">IFERROR(INDEX(Scoring!$B$27:$B$56,MATCH($E149,Scoring!$A$27:$A$56,0)),0)</f>
        <v>0</v>
      </c>
      <c r="W149" s="24" t="n">
        <f aca="false">IF($G149="","",ROUND((Scoring!$B$5-$G149)/30.4375,1))</f>
        <v>34.5</v>
      </c>
      <c r="X149" s="12" t="n">
        <f aca="false">IF($F149="Expired",Scoring!$B$18,IF($G149="",Scoring!$B$17,IF(W149&lt;=Scoring!$B$12,Scoring!$B$13,IF(W149&lt;=Scoring!$B$14,Scoring!$B$15,Scoring!$B$16))))</f>
        <v>0</v>
      </c>
      <c r="Y149" s="15" t="str">
        <f aca="false">IF($M149="","",ROUND((S149*Scoring!$B$6+U149*Scoring!$B$7)*IFERROR(INDEX(Scoring!$B$22:$B$24,MATCH($N149,Scoring!$A$22:$A$24,0)),1)+V149*Scoring!$B$8+X149,2))</f>
        <v/>
      </c>
      <c r="Z149" s="12" t="str">
        <f aca="false">IF($M149="","",IF(SUMPRODUCT(($M$5:$M$249=$M149)*($G$5:$G$249&gt;$G149))&gt;0,0,IF(SUMPRODUCT(($M$5:$M$249=$M149)*($G$5:$G$249=$G149)*(ROW($M$5:$M$249)&lt;ROW($M149)))&gt;0,0,1)))</f>
        <v/>
      </c>
      <c r="AA149" s="12" t="str">
        <f aca="false">IF($Z149=1,RANK($AE149,$AE$5:$AE$249,0),"")</f>
        <v/>
      </c>
      <c r="AB149" s="7" t="s">
        <v>153</v>
      </c>
      <c r="AC149" s="6" t="s">
        <v>642</v>
      </c>
      <c r="AD149" s="6"/>
      <c r="AE149" s="25" t="str">
        <f aca="false">IF($Z149=1,$Y149+$T149/1000000000-ROW()/10000000,"")</f>
        <v/>
      </c>
    </row>
    <row r="150" customFormat="false" ht="23.85" hidden="false" customHeight="false" outlineLevel="0" collapsed="false">
      <c r="A150" s="7" t="s">
        <v>882</v>
      </c>
      <c r="B150" s="6" t="s">
        <v>883</v>
      </c>
      <c r="C150" s="6" t="s">
        <v>884</v>
      </c>
      <c r="D150" s="7" t="s">
        <v>757</v>
      </c>
      <c r="E150" s="7" t="s">
        <v>801</v>
      </c>
      <c r="F150" s="12" t="s">
        <v>147</v>
      </c>
      <c r="G150" s="13" t="n">
        <v>45981</v>
      </c>
      <c r="H150" s="7" t="s">
        <v>885</v>
      </c>
      <c r="I150" s="6" t="s">
        <v>149</v>
      </c>
      <c r="J150" s="7" t="s">
        <v>60</v>
      </c>
      <c r="K150" s="12"/>
      <c r="L150" s="10" t="s">
        <v>886</v>
      </c>
      <c r="M150" s="7"/>
      <c r="N150" s="12"/>
      <c r="O150" s="12" t="str">
        <f aca="false">IF($M150="","",IF(COUNTIFS('QC listings'!$A$5:$A$200,$M150,'QC listings'!$C$5:$C$200,O$4,'QC listings'!$F$5:$F$200,"Listing page")+COUNTIFS('QC listings'!$A$5:$A$200,$M150,'QC listings'!$C$5:$C$200,O$4,'QC listings'!$F$5:$F$200,"Brand page")&gt;0,"Y",IF(COUNTIFS('QC listings'!$A$5:$A$200,$M150,'QC listings'!$C$5:$C$200,O$4)&gt;0,"?","–")))</f>
        <v/>
      </c>
      <c r="P150" s="12" t="str">
        <f aca="false">IF($M150="","",IF(COUNTIFS('QC listings'!$A$5:$A$200,$M150,'QC listings'!$C$5:$C$200,P$4,'QC listings'!$F$5:$F$200,"Listing page")+COUNTIFS('QC listings'!$A$5:$A$200,$M150,'QC listings'!$C$5:$C$200,P$4,'QC listings'!$F$5:$F$200,"Brand page")&gt;0,"Y",IF(COUNTIFS('QC listings'!$A$5:$A$200,$M150,'QC listings'!$C$5:$C$200,P$4)&gt;0,"?","–")))</f>
        <v/>
      </c>
      <c r="Q150" s="12" t="str">
        <f aca="false">IF($M150="","",IF(COUNTIFS('QC listings'!$A$5:$A$200,$M150,'QC listings'!$C$5:$C$200,Q$4,'QC listings'!$F$5:$F$200,"Listing page")+COUNTIFS('QC listings'!$A$5:$A$200,$M150,'QC listings'!$C$5:$C$200,Q$4,'QC listings'!$F$5:$F$200,"Brand page")&gt;0,"Y",IF(COUNTIFS('QC listings'!$A$5:$A$200,$M150,'QC listings'!$C$5:$C$200,Q$4)&gt;0,"?","–")))</f>
        <v/>
      </c>
      <c r="R150" s="12" t="str">
        <f aca="false">IF($M150="","",IF(COUNTIFS('QC listings'!$A$5:$A$200,$M150,'QC listings'!$C$5:$C$200,R$4,'QC listings'!$F$5:$F$200,"Listing page")+COUNTIFS('QC listings'!$A$5:$A$200,$M150,'QC listings'!$C$5:$C$200,R$4,'QC listings'!$F$5:$F$200,"Brand page")&gt;0,"Y",IF(COUNTIFS('QC listings'!$A$5:$A$200,$M150,'QC listings'!$C$5:$C$200,R$4)&gt;0,"?","–")))</f>
        <v/>
      </c>
      <c r="S150" s="12" t="str">
        <f aca="false">IF($M150="","",COUNTIF(O150:R150,"Y"))</f>
        <v/>
      </c>
      <c r="T150" s="23" t="str">
        <f aca="false">IF($M150="","",SUMPRODUCT(MAX(('QC listings'!$A$5:$A$200=$M150)*'QC listings'!$E$5:$E$200)))</f>
        <v/>
      </c>
      <c r="U150" s="12" t="str">
        <f aca="false">IF($M150="","",IF(T150&gt;=Scoring!$B$11,3,IF(T150&gt;=Scoring!$B$10,2,IF(T150&gt;=Scoring!$B$9,1,0))))</f>
        <v/>
      </c>
      <c r="V150" s="12" t="n">
        <f aca="false">IFERROR(INDEX(Scoring!$B$27:$B$56,MATCH($E150,Scoring!$A$27:$A$56,0)),0)</f>
        <v>0</v>
      </c>
      <c r="W150" s="24" t="n">
        <f aca="false">IF($G150="","",ROUND((Scoring!$B$5-$G150)/30.4375,1))</f>
        <v>10.4</v>
      </c>
      <c r="X150" s="12" t="n">
        <f aca="false">IF($F150="Expired",Scoring!$B$18,IF($G150="",Scoring!$B$17,IF(W150&lt;=Scoring!$B$12,Scoring!$B$13,IF(W150&lt;=Scoring!$B$14,Scoring!$B$15,Scoring!$B$16))))</f>
        <v>2</v>
      </c>
      <c r="Y150" s="15" t="str">
        <f aca="false">IF($M150="","",ROUND((S150*Scoring!$B$6+U150*Scoring!$B$7)*IFERROR(INDEX(Scoring!$B$22:$B$24,MATCH($N150,Scoring!$A$22:$A$24,0)),1)+V150*Scoring!$B$8+X150,2))</f>
        <v/>
      </c>
      <c r="Z150" s="12" t="str">
        <f aca="false">IF($M150="","",IF(SUMPRODUCT(($M$5:$M$249=$M150)*($G$5:$G$249&gt;$G150))&gt;0,0,IF(SUMPRODUCT(($M$5:$M$249=$M150)*($G$5:$G$249=$G150)*(ROW($M$5:$M$249)&lt;ROW($M150)))&gt;0,0,1)))</f>
        <v/>
      </c>
      <c r="AA150" s="12" t="str">
        <f aca="false">IF($Z150=1,RANK($AE150,$AE$5:$AE$249,0),"")</f>
        <v/>
      </c>
      <c r="AB150" s="7" t="s">
        <v>153</v>
      </c>
      <c r="AC150" s="6" t="s">
        <v>154</v>
      </c>
      <c r="AD150" s="6"/>
      <c r="AE150" s="25" t="str">
        <f aca="false">IF($Z150=1,$Y150+$T150/1000000000-ROW()/10000000,"")</f>
        <v/>
      </c>
    </row>
    <row r="151" customFormat="false" ht="23.85" hidden="false" customHeight="false" outlineLevel="0" collapsed="false">
      <c r="A151" s="7" t="s">
        <v>887</v>
      </c>
      <c r="B151" s="6" t="s">
        <v>888</v>
      </c>
      <c r="C151" s="6" t="s">
        <v>889</v>
      </c>
      <c r="D151" s="7" t="s">
        <v>757</v>
      </c>
      <c r="E151" s="7" t="s">
        <v>801</v>
      </c>
      <c r="F151" s="12" t="s">
        <v>147</v>
      </c>
      <c r="G151" s="13" t="n">
        <v>45992</v>
      </c>
      <c r="H151" s="7" t="s">
        <v>890</v>
      </c>
      <c r="I151" s="6" t="s">
        <v>149</v>
      </c>
      <c r="J151" s="7" t="s">
        <v>60</v>
      </c>
      <c r="K151" s="12"/>
      <c r="L151" s="10" t="s">
        <v>891</v>
      </c>
      <c r="M151" s="7"/>
      <c r="N151" s="12"/>
      <c r="O151" s="12" t="str">
        <f aca="false">IF($M151="","",IF(COUNTIFS('QC listings'!$A$5:$A$200,$M151,'QC listings'!$C$5:$C$200,O$4,'QC listings'!$F$5:$F$200,"Listing page")+COUNTIFS('QC listings'!$A$5:$A$200,$M151,'QC listings'!$C$5:$C$200,O$4,'QC listings'!$F$5:$F$200,"Brand page")&gt;0,"Y",IF(COUNTIFS('QC listings'!$A$5:$A$200,$M151,'QC listings'!$C$5:$C$200,O$4)&gt;0,"?","–")))</f>
        <v/>
      </c>
      <c r="P151" s="12" t="str">
        <f aca="false">IF($M151="","",IF(COUNTIFS('QC listings'!$A$5:$A$200,$M151,'QC listings'!$C$5:$C$200,P$4,'QC listings'!$F$5:$F$200,"Listing page")+COUNTIFS('QC listings'!$A$5:$A$200,$M151,'QC listings'!$C$5:$C$200,P$4,'QC listings'!$F$5:$F$200,"Brand page")&gt;0,"Y",IF(COUNTIFS('QC listings'!$A$5:$A$200,$M151,'QC listings'!$C$5:$C$200,P$4)&gt;0,"?","–")))</f>
        <v/>
      </c>
      <c r="Q151" s="12" t="str">
        <f aca="false">IF($M151="","",IF(COUNTIFS('QC listings'!$A$5:$A$200,$M151,'QC listings'!$C$5:$C$200,Q$4,'QC listings'!$F$5:$F$200,"Listing page")+COUNTIFS('QC listings'!$A$5:$A$200,$M151,'QC listings'!$C$5:$C$200,Q$4,'QC listings'!$F$5:$F$200,"Brand page")&gt;0,"Y",IF(COUNTIFS('QC listings'!$A$5:$A$200,$M151,'QC listings'!$C$5:$C$200,Q$4)&gt;0,"?","–")))</f>
        <v/>
      </c>
      <c r="R151" s="12" t="str">
        <f aca="false">IF($M151="","",IF(COUNTIFS('QC listings'!$A$5:$A$200,$M151,'QC listings'!$C$5:$C$200,R$4,'QC listings'!$F$5:$F$200,"Listing page")+COUNTIFS('QC listings'!$A$5:$A$200,$M151,'QC listings'!$C$5:$C$200,R$4,'QC listings'!$F$5:$F$200,"Brand page")&gt;0,"Y",IF(COUNTIFS('QC listings'!$A$5:$A$200,$M151,'QC listings'!$C$5:$C$200,R$4)&gt;0,"?","–")))</f>
        <v/>
      </c>
      <c r="S151" s="12" t="str">
        <f aca="false">IF($M151="","",COUNTIF(O151:R151,"Y"))</f>
        <v/>
      </c>
      <c r="T151" s="23" t="str">
        <f aca="false">IF($M151="","",SUMPRODUCT(MAX(('QC listings'!$A$5:$A$200=$M151)*'QC listings'!$E$5:$E$200)))</f>
        <v/>
      </c>
      <c r="U151" s="12" t="str">
        <f aca="false">IF($M151="","",IF(T151&gt;=Scoring!$B$11,3,IF(T151&gt;=Scoring!$B$10,2,IF(T151&gt;=Scoring!$B$9,1,0))))</f>
        <v/>
      </c>
      <c r="V151" s="12" t="n">
        <f aca="false">IFERROR(INDEX(Scoring!$B$27:$B$56,MATCH($E151,Scoring!$A$27:$A$56,0)),0)</f>
        <v>0</v>
      </c>
      <c r="W151" s="24" t="n">
        <f aca="false">IF($G151="","",ROUND((Scoring!$B$5-$G151)/30.4375,1))</f>
        <v>10</v>
      </c>
      <c r="X151" s="12" t="n">
        <f aca="false">IF($F151="Expired",Scoring!$B$18,IF($G151="",Scoring!$B$17,IF(W151&lt;=Scoring!$B$12,Scoring!$B$13,IF(W151&lt;=Scoring!$B$14,Scoring!$B$15,Scoring!$B$16))))</f>
        <v>2</v>
      </c>
      <c r="Y151" s="15" t="str">
        <f aca="false">IF($M151="","",ROUND((S151*Scoring!$B$6+U151*Scoring!$B$7)*IFERROR(INDEX(Scoring!$B$22:$B$24,MATCH($N151,Scoring!$A$22:$A$24,0)),1)+V151*Scoring!$B$8+X151,2))</f>
        <v/>
      </c>
      <c r="Z151" s="12" t="str">
        <f aca="false">IF($M151="","",IF(SUMPRODUCT(($M$5:$M$249=$M151)*($G$5:$G$249&gt;$G151))&gt;0,0,IF(SUMPRODUCT(($M$5:$M$249=$M151)*($G$5:$G$249=$G151)*(ROW($M$5:$M$249)&lt;ROW($M151)))&gt;0,0,1)))</f>
        <v/>
      </c>
      <c r="AA151" s="12" t="str">
        <f aca="false">IF($Z151=1,RANK($AE151,$AE$5:$AE$249,0),"")</f>
        <v/>
      </c>
      <c r="AB151" s="7" t="s">
        <v>153</v>
      </c>
      <c r="AC151" s="6" t="s">
        <v>154</v>
      </c>
      <c r="AD151" s="6"/>
      <c r="AE151" s="25" t="str">
        <f aca="false">IF($Z151=1,$Y151+$T151/1000000000-ROW()/10000000,"")</f>
        <v/>
      </c>
    </row>
    <row r="152" customFormat="false" ht="23.85" hidden="false" customHeight="false" outlineLevel="0" collapsed="false">
      <c r="A152" s="7" t="s">
        <v>892</v>
      </c>
      <c r="B152" s="6" t="s">
        <v>893</v>
      </c>
      <c r="C152" s="6" t="s">
        <v>894</v>
      </c>
      <c r="D152" s="7" t="s">
        <v>757</v>
      </c>
      <c r="E152" s="7" t="s">
        <v>801</v>
      </c>
      <c r="F152" s="12" t="s">
        <v>147</v>
      </c>
      <c r="G152" s="13" t="n">
        <v>45812</v>
      </c>
      <c r="H152" s="7" t="s">
        <v>895</v>
      </c>
      <c r="I152" s="6" t="s">
        <v>149</v>
      </c>
      <c r="J152" s="7" t="s">
        <v>60</v>
      </c>
      <c r="K152" s="12"/>
      <c r="L152" s="10" t="s">
        <v>896</v>
      </c>
      <c r="M152" s="7"/>
      <c r="N152" s="12"/>
      <c r="O152" s="12" t="str">
        <f aca="false">IF($M152="","",IF(COUNTIFS('QC listings'!$A$5:$A$200,$M152,'QC listings'!$C$5:$C$200,O$4,'QC listings'!$F$5:$F$200,"Listing page")+COUNTIFS('QC listings'!$A$5:$A$200,$M152,'QC listings'!$C$5:$C$200,O$4,'QC listings'!$F$5:$F$200,"Brand page")&gt;0,"Y",IF(COUNTIFS('QC listings'!$A$5:$A$200,$M152,'QC listings'!$C$5:$C$200,O$4)&gt;0,"?","–")))</f>
        <v/>
      </c>
      <c r="P152" s="12" t="str">
        <f aca="false">IF($M152="","",IF(COUNTIFS('QC listings'!$A$5:$A$200,$M152,'QC listings'!$C$5:$C$200,P$4,'QC listings'!$F$5:$F$200,"Listing page")+COUNTIFS('QC listings'!$A$5:$A$200,$M152,'QC listings'!$C$5:$C$200,P$4,'QC listings'!$F$5:$F$200,"Brand page")&gt;0,"Y",IF(COUNTIFS('QC listings'!$A$5:$A$200,$M152,'QC listings'!$C$5:$C$200,P$4)&gt;0,"?","–")))</f>
        <v/>
      </c>
      <c r="Q152" s="12" t="str">
        <f aca="false">IF($M152="","",IF(COUNTIFS('QC listings'!$A$5:$A$200,$M152,'QC listings'!$C$5:$C$200,Q$4,'QC listings'!$F$5:$F$200,"Listing page")+COUNTIFS('QC listings'!$A$5:$A$200,$M152,'QC listings'!$C$5:$C$200,Q$4,'QC listings'!$F$5:$F$200,"Brand page")&gt;0,"Y",IF(COUNTIFS('QC listings'!$A$5:$A$200,$M152,'QC listings'!$C$5:$C$200,Q$4)&gt;0,"?","–")))</f>
        <v/>
      </c>
      <c r="R152" s="12" t="str">
        <f aca="false">IF($M152="","",IF(COUNTIFS('QC listings'!$A$5:$A$200,$M152,'QC listings'!$C$5:$C$200,R$4,'QC listings'!$F$5:$F$200,"Listing page")+COUNTIFS('QC listings'!$A$5:$A$200,$M152,'QC listings'!$C$5:$C$200,R$4,'QC listings'!$F$5:$F$200,"Brand page")&gt;0,"Y",IF(COUNTIFS('QC listings'!$A$5:$A$200,$M152,'QC listings'!$C$5:$C$200,R$4)&gt;0,"?","–")))</f>
        <v/>
      </c>
      <c r="S152" s="12" t="str">
        <f aca="false">IF($M152="","",COUNTIF(O152:R152,"Y"))</f>
        <v/>
      </c>
      <c r="T152" s="23" t="str">
        <f aca="false">IF($M152="","",SUMPRODUCT(MAX(('QC listings'!$A$5:$A$200=$M152)*'QC listings'!$E$5:$E$200)))</f>
        <v/>
      </c>
      <c r="U152" s="12" t="str">
        <f aca="false">IF($M152="","",IF(T152&gt;=Scoring!$B$11,3,IF(T152&gt;=Scoring!$B$10,2,IF(T152&gt;=Scoring!$B$9,1,0))))</f>
        <v/>
      </c>
      <c r="V152" s="12" t="n">
        <f aca="false">IFERROR(INDEX(Scoring!$B$27:$B$56,MATCH($E152,Scoring!$A$27:$A$56,0)),0)</f>
        <v>0</v>
      </c>
      <c r="W152" s="24" t="n">
        <f aca="false">IF($G152="","",ROUND((Scoring!$B$5-$G152)/30.4375,1))</f>
        <v>15.9</v>
      </c>
      <c r="X152" s="12" t="n">
        <f aca="false">IF($F152="Expired",Scoring!$B$18,IF($G152="",Scoring!$B$17,IF(W152&lt;=Scoring!$B$12,Scoring!$B$13,IF(W152&lt;=Scoring!$B$14,Scoring!$B$15,Scoring!$B$16))))</f>
        <v>1</v>
      </c>
      <c r="Y152" s="15" t="str">
        <f aca="false">IF($M152="","",ROUND((S152*Scoring!$B$6+U152*Scoring!$B$7)*IFERROR(INDEX(Scoring!$B$22:$B$24,MATCH($N152,Scoring!$A$22:$A$24,0)),1)+V152*Scoring!$B$8+X152,2))</f>
        <v/>
      </c>
      <c r="Z152" s="12" t="str">
        <f aca="false">IF($M152="","",IF(SUMPRODUCT(($M$5:$M$249=$M152)*($G$5:$G$249&gt;$G152))&gt;0,0,IF(SUMPRODUCT(($M$5:$M$249=$M152)*($G$5:$G$249=$G152)*(ROW($M$5:$M$249)&lt;ROW($M152)))&gt;0,0,1)))</f>
        <v/>
      </c>
      <c r="AA152" s="12" t="str">
        <f aca="false">IF($Z152=1,RANK($AE152,$AE$5:$AE$249,0),"")</f>
        <v/>
      </c>
      <c r="AB152" s="7" t="s">
        <v>153</v>
      </c>
      <c r="AC152" s="6" t="s">
        <v>154</v>
      </c>
      <c r="AD152" s="6"/>
      <c r="AE152" s="25" t="str">
        <f aca="false">IF($Z152=1,$Y152+$T152/1000000000-ROW()/10000000,"")</f>
        <v/>
      </c>
    </row>
    <row r="153" customFormat="false" ht="23.85" hidden="false" customHeight="false" outlineLevel="0" collapsed="false">
      <c r="A153" s="7" t="s">
        <v>897</v>
      </c>
      <c r="B153" s="6" t="s">
        <v>674</v>
      </c>
      <c r="C153" s="6" t="s">
        <v>898</v>
      </c>
      <c r="D153" s="7" t="s">
        <v>757</v>
      </c>
      <c r="E153" s="7" t="s">
        <v>801</v>
      </c>
      <c r="F153" s="12" t="s">
        <v>158</v>
      </c>
      <c r="G153" s="13" t="n">
        <v>45712</v>
      </c>
      <c r="H153" s="7" t="s">
        <v>899</v>
      </c>
      <c r="I153" s="6" t="s">
        <v>149</v>
      </c>
      <c r="J153" s="7" t="s">
        <v>60</v>
      </c>
      <c r="K153" s="12"/>
      <c r="L153" s="10" t="s">
        <v>900</v>
      </c>
      <c r="M153" s="7"/>
      <c r="N153" s="12"/>
      <c r="O153" s="12" t="str">
        <f aca="false">IF($M153="","",IF(COUNTIFS('QC listings'!$A$5:$A$200,$M153,'QC listings'!$C$5:$C$200,O$4,'QC listings'!$F$5:$F$200,"Listing page")+COUNTIFS('QC listings'!$A$5:$A$200,$M153,'QC listings'!$C$5:$C$200,O$4,'QC listings'!$F$5:$F$200,"Brand page")&gt;0,"Y",IF(COUNTIFS('QC listings'!$A$5:$A$200,$M153,'QC listings'!$C$5:$C$200,O$4)&gt;0,"?","–")))</f>
        <v/>
      </c>
      <c r="P153" s="12" t="str">
        <f aca="false">IF($M153="","",IF(COUNTIFS('QC listings'!$A$5:$A$200,$M153,'QC listings'!$C$5:$C$200,P$4,'QC listings'!$F$5:$F$200,"Listing page")+COUNTIFS('QC listings'!$A$5:$A$200,$M153,'QC listings'!$C$5:$C$200,P$4,'QC listings'!$F$5:$F$200,"Brand page")&gt;0,"Y",IF(COUNTIFS('QC listings'!$A$5:$A$200,$M153,'QC listings'!$C$5:$C$200,P$4)&gt;0,"?","–")))</f>
        <v/>
      </c>
      <c r="Q153" s="12" t="str">
        <f aca="false">IF($M153="","",IF(COUNTIFS('QC listings'!$A$5:$A$200,$M153,'QC listings'!$C$5:$C$200,Q$4,'QC listings'!$F$5:$F$200,"Listing page")+COUNTIFS('QC listings'!$A$5:$A$200,$M153,'QC listings'!$C$5:$C$200,Q$4,'QC listings'!$F$5:$F$200,"Brand page")&gt;0,"Y",IF(COUNTIFS('QC listings'!$A$5:$A$200,$M153,'QC listings'!$C$5:$C$200,Q$4)&gt;0,"?","–")))</f>
        <v/>
      </c>
      <c r="R153" s="12" t="str">
        <f aca="false">IF($M153="","",IF(COUNTIFS('QC listings'!$A$5:$A$200,$M153,'QC listings'!$C$5:$C$200,R$4,'QC listings'!$F$5:$F$200,"Listing page")+COUNTIFS('QC listings'!$A$5:$A$200,$M153,'QC listings'!$C$5:$C$200,R$4,'QC listings'!$F$5:$F$200,"Brand page")&gt;0,"Y",IF(COUNTIFS('QC listings'!$A$5:$A$200,$M153,'QC listings'!$C$5:$C$200,R$4)&gt;0,"?","–")))</f>
        <v/>
      </c>
      <c r="S153" s="12" t="str">
        <f aca="false">IF($M153="","",COUNTIF(O153:R153,"Y"))</f>
        <v/>
      </c>
      <c r="T153" s="23" t="str">
        <f aca="false">IF($M153="","",SUMPRODUCT(MAX(('QC listings'!$A$5:$A$200=$M153)*'QC listings'!$E$5:$E$200)))</f>
        <v/>
      </c>
      <c r="U153" s="12" t="str">
        <f aca="false">IF($M153="","",IF(T153&gt;=Scoring!$B$11,3,IF(T153&gt;=Scoring!$B$10,2,IF(T153&gt;=Scoring!$B$9,1,0))))</f>
        <v/>
      </c>
      <c r="V153" s="12" t="n">
        <f aca="false">IFERROR(INDEX(Scoring!$B$27:$B$56,MATCH($E153,Scoring!$A$27:$A$56,0)),0)</f>
        <v>0</v>
      </c>
      <c r="W153" s="24" t="n">
        <f aca="false">IF($G153="","",ROUND((Scoring!$B$5-$G153)/30.4375,1))</f>
        <v>19.2</v>
      </c>
      <c r="X153" s="12" t="n">
        <f aca="false">IF($F153="Expired",Scoring!$B$18,IF($G153="",Scoring!$B$17,IF(W153&lt;=Scoring!$B$12,Scoring!$B$13,IF(W153&lt;=Scoring!$B$14,Scoring!$B$15,Scoring!$B$16))))</f>
        <v>1</v>
      </c>
      <c r="Y153" s="15" t="str">
        <f aca="false">IF($M153="","",ROUND((S153*Scoring!$B$6+U153*Scoring!$B$7)*IFERROR(INDEX(Scoring!$B$22:$B$24,MATCH($N153,Scoring!$A$22:$A$24,0)),1)+V153*Scoring!$B$8+X153,2))</f>
        <v/>
      </c>
      <c r="Z153" s="12" t="str">
        <f aca="false">IF($M153="","",IF(SUMPRODUCT(($M$5:$M$249=$M153)*($G$5:$G$249&gt;$G153))&gt;0,0,IF(SUMPRODUCT(($M$5:$M$249=$M153)*($G$5:$G$249=$G153)*(ROW($M$5:$M$249)&lt;ROW($M153)))&gt;0,0,1)))</f>
        <v/>
      </c>
      <c r="AA153" s="12" t="str">
        <f aca="false">IF($Z153=1,RANK($AE153,$AE$5:$AE$249,0),"")</f>
        <v/>
      </c>
      <c r="AB153" s="7" t="s">
        <v>153</v>
      </c>
      <c r="AC153" s="6" t="s">
        <v>162</v>
      </c>
      <c r="AD153" s="6"/>
      <c r="AE153" s="25" t="str">
        <f aca="false">IF($Z153=1,$Y153+$T153/1000000000-ROW()/10000000,"")</f>
        <v/>
      </c>
    </row>
    <row r="154" customFormat="false" ht="35.05" hidden="false" customHeight="false" outlineLevel="0" collapsed="false">
      <c r="A154" s="7" t="s">
        <v>901</v>
      </c>
      <c r="B154" s="6" t="s">
        <v>674</v>
      </c>
      <c r="C154" s="6" t="s">
        <v>902</v>
      </c>
      <c r="D154" s="7" t="s">
        <v>757</v>
      </c>
      <c r="E154" s="7" t="s">
        <v>801</v>
      </c>
      <c r="F154" s="12" t="s">
        <v>158</v>
      </c>
      <c r="G154" s="13"/>
      <c r="H154" s="7"/>
      <c r="I154" s="6" t="s">
        <v>903</v>
      </c>
      <c r="J154" s="7" t="s">
        <v>60</v>
      </c>
      <c r="K154" s="12"/>
      <c r="L154" s="10" t="s">
        <v>904</v>
      </c>
      <c r="M154" s="7" t="s">
        <v>905</v>
      </c>
      <c r="N154" s="12" t="s">
        <v>152</v>
      </c>
      <c r="O154" s="12" t="str">
        <f aca="false">IF($M154="","",IF(COUNTIFS('QC listings'!$A$5:$A$200,$M154,'QC listings'!$C$5:$C$200,O$4,'QC listings'!$F$5:$F$200,"Listing page")+COUNTIFS('QC listings'!$A$5:$A$200,$M154,'QC listings'!$C$5:$C$200,O$4,'QC listings'!$F$5:$F$200,"Brand page")&gt;0,"Y",IF(COUNTIFS('QC listings'!$A$5:$A$200,$M154,'QC listings'!$C$5:$C$200,O$4)&gt;0,"?","–")))</f>
        <v>Y</v>
      </c>
      <c r="P154" s="12" t="str">
        <f aca="false">IF($M154="","",IF(COUNTIFS('QC listings'!$A$5:$A$200,$M154,'QC listings'!$C$5:$C$200,P$4,'QC listings'!$F$5:$F$200,"Listing page")+COUNTIFS('QC listings'!$A$5:$A$200,$M154,'QC listings'!$C$5:$C$200,P$4,'QC listings'!$F$5:$F$200,"Brand page")&gt;0,"Y",IF(COUNTIFS('QC listings'!$A$5:$A$200,$M154,'QC listings'!$C$5:$C$200,P$4)&gt;0,"?","–")))</f>
        <v>–</v>
      </c>
      <c r="Q154" s="12" t="str">
        <f aca="false">IF($M154="","",IF(COUNTIFS('QC listings'!$A$5:$A$200,$M154,'QC listings'!$C$5:$C$200,Q$4,'QC listings'!$F$5:$F$200,"Listing page")+COUNTIFS('QC listings'!$A$5:$A$200,$M154,'QC listings'!$C$5:$C$200,Q$4,'QC listings'!$F$5:$F$200,"Brand page")&gt;0,"Y",IF(COUNTIFS('QC listings'!$A$5:$A$200,$M154,'QC listings'!$C$5:$C$200,Q$4)&gt;0,"?","–")))</f>
        <v>–</v>
      </c>
      <c r="R154" s="12" t="str">
        <f aca="false">IF($M154="","",IF(COUNTIFS('QC listings'!$A$5:$A$200,$M154,'QC listings'!$C$5:$C$200,R$4,'QC listings'!$F$5:$F$200,"Listing page")+COUNTIFS('QC listings'!$A$5:$A$200,$M154,'QC listings'!$C$5:$C$200,R$4,'QC listings'!$F$5:$F$200,"Brand page")&gt;0,"Y",IF(COUNTIFS('QC listings'!$A$5:$A$200,$M154,'QC listings'!$C$5:$C$200,R$4)&gt;0,"?","–")))</f>
        <v>–</v>
      </c>
      <c r="S154" s="12" t="n">
        <f aca="false">IF($M154="","",COUNTIF(O154:R154,"Y"))</f>
        <v>1</v>
      </c>
      <c r="T154" s="23" t="n">
        <f aca="false">IF($M154="","",SUMPRODUCT(MAX(('QC listings'!$A$5:$A$200=$M154)*'QC listings'!$E$5:$E$200)))</f>
        <v>0</v>
      </c>
      <c r="U154" s="12" t="n">
        <f aca="false">IF($M154="","",IF(T154&gt;=Scoring!$B$11,3,IF(T154&gt;=Scoring!$B$10,2,IF(T154&gt;=Scoring!$B$9,1,0))))</f>
        <v>0</v>
      </c>
      <c r="V154" s="12" t="n">
        <f aca="false">IFERROR(INDEX(Scoring!$B$27:$B$56,MATCH($E154,Scoring!$A$27:$A$56,0)),0)</f>
        <v>0</v>
      </c>
      <c r="W154" s="24" t="str">
        <f aca="false">IF($G154="","",ROUND((Scoring!$B$5-$G154)/30.4375,1))</f>
        <v/>
      </c>
      <c r="X154" s="12" t="n">
        <f aca="false">IF($F154="Expired",Scoring!$B$18,IF($G154="",Scoring!$B$17,IF(W154&lt;=Scoring!$B$12,Scoring!$B$13,IF(W154&lt;=Scoring!$B$14,Scoring!$B$15,Scoring!$B$16))))</f>
        <v>1</v>
      </c>
      <c r="Y154" s="15" t="n">
        <f aca="false">IF($M154="","",ROUND((S154*Scoring!$B$6+U154*Scoring!$B$7)*IFERROR(INDEX(Scoring!$B$22:$B$24,MATCH($N154,Scoring!$A$22:$A$24,0)),1)+V154*Scoring!$B$8+X154,2))</f>
        <v>2</v>
      </c>
      <c r="Z154" s="12" t="n">
        <f aca="false">IF($M154="","",IF(SUMPRODUCT(($M$5:$M$249=$M154)*($G$5:$G$249&gt;$G154))&gt;0,0,IF(SUMPRODUCT(($M$5:$M$249=$M154)*($G$5:$G$249=$G154)*(ROW($M$5:$M$249)&lt;ROW($M154)))&gt;0,0,1)))</f>
        <v>1</v>
      </c>
      <c r="AA154" s="12" t="n">
        <f aca="false">IF($Z154=1,RANK($AE154,$AE$5:$AE$249,0),"")</f>
        <v>33</v>
      </c>
      <c r="AB154" s="7" t="s">
        <v>153</v>
      </c>
      <c r="AC154" s="6" t="s">
        <v>162</v>
      </c>
      <c r="AD154" s="6" t="s">
        <v>906</v>
      </c>
      <c r="AE154" s="25" t="n">
        <f aca="false">IF($Z154=1,$Y154+$T154/1000000000-ROW()/10000000,"")</f>
        <v>1.9999846</v>
      </c>
    </row>
    <row r="155" customFormat="false" ht="57.45" hidden="false" customHeight="false" outlineLevel="0" collapsed="false">
      <c r="A155" s="7" t="s">
        <v>907</v>
      </c>
      <c r="B155" s="6" t="s">
        <v>674</v>
      </c>
      <c r="C155" s="6" t="s">
        <v>908</v>
      </c>
      <c r="D155" s="7" t="s">
        <v>757</v>
      </c>
      <c r="E155" s="7" t="s">
        <v>801</v>
      </c>
      <c r="F155" s="12" t="s">
        <v>158</v>
      </c>
      <c r="G155" s="13"/>
      <c r="H155" s="7"/>
      <c r="I155" s="6" t="s">
        <v>903</v>
      </c>
      <c r="J155" s="7" t="s">
        <v>60</v>
      </c>
      <c r="K155" s="12"/>
      <c r="L155" s="10" t="s">
        <v>909</v>
      </c>
      <c r="M155" s="7" t="s">
        <v>910</v>
      </c>
      <c r="N155" s="12" t="s">
        <v>152</v>
      </c>
      <c r="O155" s="12" t="str">
        <f aca="false">IF($M155="","",IF(COUNTIFS('QC listings'!$A$5:$A$200,$M155,'QC listings'!$C$5:$C$200,O$4,'QC listings'!$F$5:$F$200,"Listing page")+COUNTIFS('QC listings'!$A$5:$A$200,$M155,'QC listings'!$C$5:$C$200,O$4,'QC listings'!$F$5:$F$200,"Brand page")&gt;0,"Y",IF(COUNTIFS('QC listings'!$A$5:$A$200,$M155,'QC listings'!$C$5:$C$200,O$4)&gt;0,"?","–")))</f>
        <v>Y</v>
      </c>
      <c r="P155" s="12" t="str">
        <f aca="false">IF($M155="","",IF(COUNTIFS('QC listings'!$A$5:$A$200,$M155,'QC listings'!$C$5:$C$200,P$4,'QC listings'!$F$5:$F$200,"Listing page")+COUNTIFS('QC listings'!$A$5:$A$200,$M155,'QC listings'!$C$5:$C$200,P$4,'QC listings'!$F$5:$F$200,"Brand page")&gt;0,"Y",IF(COUNTIFS('QC listings'!$A$5:$A$200,$M155,'QC listings'!$C$5:$C$200,P$4)&gt;0,"?","–")))</f>
        <v>–</v>
      </c>
      <c r="Q155" s="12" t="str">
        <f aca="false">IF($M155="","",IF(COUNTIFS('QC listings'!$A$5:$A$200,$M155,'QC listings'!$C$5:$C$200,Q$4,'QC listings'!$F$5:$F$200,"Listing page")+COUNTIFS('QC listings'!$A$5:$A$200,$M155,'QC listings'!$C$5:$C$200,Q$4,'QC listings'!$F$5:$F$200,"Brand page")&gt;0,"Y",IF(COUNTIFS('QC listings'!$A$5:$A$200,$M155,'QC listings'!$C$5:$C$200,Q$4)&gt;0,"?","–")))</f>
        <v>–</v>
      </c>
      <c r="R155" s="12" t="str">
        <f aca="false">IF($M155="","",IF(COUNTIFS('QC listings'!$A$5:$A$200,$M155,'QC listings'!$C$5:$C$200,R$4,'QC listings'!$F$5:$F$200,"Listing page")+COUNTIFS('QC listings'!$A$5:$A$200,$M155,'QC listings'!$C$5:$C$200,R$4,'QC listings'!$F$5:$F$200,"Brand page")&gt;0,"Y",IF(COUNTIFS('QC listings'!$A$5:$A$200,$M155,'QC listings'!$C$5:$C$200,R$4)&gt;0,"?","–")))</f>
        <v>–</v>
      </c>
      <c r="S155" s="12" t="n">
        <f aca="false">IF($M155="","",COUNTIF(O155:R155,"Y"))</f>
        <v>1</v>
      </c>
      <c r="T155" s="23" t="n">
        <f aca="false">IF($M155="","",SUMPRODUCT(MAX(('QC listings'!$A$5:$A$200=$M155)*'QC listings'!$E$5:$E$200)))</f>
        <v>0</v>
      </c>
      <c r="U155" s="12" t="n">
        <f aca="false">IF($M155="","",IF(T155&gt;=Scoring!$B$11,3,IF(T155&gt;=Scoring!$B$10,2,IF(T155&gt;=Scoring!$B$9,1,0))))</f>
        <v>0</v>
      </c>
      <c r="V155" s="12" t="n">
        <f aca="false">IFERROR(INDEX(Scoring!$B$27:$B$56,MATCH($E155,Scoring!$A$27:$A$56,0)),0)</f>
        <v>0</v>
      </c>
      <c r="W155" s="24" t="str">
        <f aca="false">IF($G155="","",ROUND((Scoring!$B$5-$G155)/30.4375,1))</f>
        <v/>
      </c>
      <c r="X155" s="12" t="n">
        <f aca="false">IF($F155="Expired",Scoring!$B$18,IF($G155="",Scoring!$B$17,IF(W155&lt;=Scoring!$B$12,Scoring!$B$13,IF(W155&lt;=Scoring!$B$14,Scoring!$B$15,Scoring!$B$16))))</f>
        <v>1</v>
      </c>
      <c r="Y155" s="15" t="n">
        <f aca="false">IF($M155="","",ROUND((S155*Scoring!$B$6+U155*Scoring!$B$7)*IFERROR(INDEX(Scoring!$B$22:$B$24,MATCH($N155,Scoring!$A$22:$A$24,0)),1)+V155*Scoring!$B$8+X155,2))</f>
        <v>2</v>
      </c>
      <c r="Z155" s="12" t="n">
        <f aca="false">IF($M155="","",IF(SUMPRODUCT(($M$5:$M$249=$M155)*($G$5:$G$249&gt;$G155))&gt;0,0,IF(SUMPRODUCT(($M$5:$M$249=$M155)*($G$5:$G$249=$G155)*(ROW($M$5:$M$249)&lt;ROW($M155)))&gt;0,0,1)))</f>
        <v>1</v>
      </c>
      <c r="AA155" s="12" t="n">
        <f aca="false">IF($Z155=1,RANK($AE155,$AE$5:$AE$249,0),"")</f>
        <v>34</v>
      </c>
      <c r="AB155" s="7" t="s">
        <v>153</v>
      </c>
      <c r="AC155" s="6" t="s">
        <v>162</v>
      </c>
      <c r="AD155" s="6" t="s">
        <v>911</v>
      </c>
      <c r="AE155" s="25" t="n">
        <f aca="false">IF($Z155=1,$Y155+$T155/1000000000-ROW()/10000000,"")</f>
        <v>1.9999845</v>
      </c>
    </row>
    <row r="156" customFormat="false" ht="23.85" hidden="false" customHeight="false" outlineLevel="0" collapsed="false">
      <c r="A156" s="7" t="s">
        <v>912</v>
      </c>
      <c r="B156" s="6" t="s">
        <v>674</v>
      </c>
      <c r="C156" s="6" t="s">
        <v>913</v>
      </c>
      <c r="D156" s="7" t="s">
        <v>757</v>
      </c>
      <c r="E156" s="7" t="s">
        <v>801</v>
      </c>
      <c r="F156" s="12" t="s">
        <v>158</v>
      </c>
      <c r="G156" s="13" t="n">
        <v>45443</v>
      </c>
      <c r="H156" s="7" t="s">
        <v>914</v>
      </c>
      <c r="I156" s="6" t="s">
        <v>149</v>
      </c>
      <c r="J156" s="7" t="s">
        <v>60</v>
      </c>
      <c r="K156" s="12"/>
      <c r="L156" s="10" t="s">
        <v>915</v>
      </c>
      <c r="M156" s="7"/>
      <c r="N156" s="12"/>
      <c r="O156" s="12" t="str">
        <f aca="false">IF($M156="","",IF(COUNTIFS('QC listings'!$A$5:$A$200,$M156,'QC listings'!$C$5:$C$200,O$4,'QC listings'!$F$5:$F$200,"Listing page")+COUNTIFS('QC listings'!$A$5:$A$200,$M156,'QC listings'!$C$5:$C$200,O$4,'QC listings'!$F$5:$F$200,"Brand page")&gt;0,"Y",IF(COUNTIFS('QC listings'!$A$5:$A$200,$M156,'QC listings'!$C$5:$C$200,O$4)&gt;0,"?","–")))</f>
        <v/>
      </c>
      <c r="P156" s="12" t="str">
        <f aca="false">IF($M156="","",IF(COUNTIFS('QC listings'!$A$5:$A$200,$M156,'QC listings'!$C$5:$C$200,P$4,'QC listings'!$F$5:$F$200,"Listing page")+COUNTIFS('QC listings'!$A$5:$A$200,$M156,'QC listings'!$C$5:$C$200,P$4,'QC listings'!$F$5:$F$200,"Brand page")&gt;0,"Y",IF(COUNTIFS('QC listings'!$A$5:$A$200,$M156,'QC listings'!$C$5:$C$200,P$4)&gt;0,"?","–")))</f>
        <v/>
      </c>
      <c r="Q156" s="12" t="str">
        <f aca="false">IF($M156="","",IF(COUNTIFS('QC listings'!$A$5:$A$200,$M156,'QC listings'!$C$5:$C$200,Q$4,'QC listings'!$F$5:$F$200,"Listing page")+COUNTIFS('QC listings'!$A$5:$A$200,$M156,'QC listings'!$C$5:$C$200,Q$4,'QC listings'!$F$5:$F$200,"Brand page")&gt;0,"Y",IF(COUNTIFS('QC listings'!$A$5:$A$200,$M156,'QC listings'!$C$5:$C$200,Q$4)&gt;0,"?","–")))</f>
        <v/>
      </c>
      <c r="R156" s="12" t="str">
        <f aca="false">IF($M156="","",IF(COUNTIFS('QC listings'!$A$5:$A$200,$M156,'QC listings'!$C$5:$C$200,R$4,'QC listings'!$F$5:$F$200,"Listing page")+COUNTIFS('QC listings'!$A$5:$A$200,$M156,'QC listings'!$C$5:$C$200,R$4,'QC listings'!$F$5:$F$200,"Brand page")&gt;0,"Y",IF(COUNTIFS('QC listings'!$A$5:$A$200,$M156,'QC listings'!$C$5:$C$200,R$4)&gt;0,"?","–")))</f>
        <v/>
      </c>
      <c r="S156" s="12" t="str">
        <f aca="false">IF($M156="","",COUNTIF(O156:R156,"Y"))</f>
        <v/>
      </c>
      <c r="T156" s="23" t="str">
        <f aca="false">IF($M156="","",SUMPRODUCT(MAX(('QC listings'!$A$5:$A$200=$M156)*'QC listings'!$E$5:$E$200)))</f>
        <v/>
      </c>
      <c r="U156" s="12" t="str">
        <f aca="false">IF($M156="","",IF(T156&gt;=Scoring!$B$11,3,IF(T156&gt;=Scoring!$B$10,2,IF(T156&gt;=Scoring!$B$9,1,0))))</f>
        <v/>
      </c>
      <c r="V156" s="12" t="n">
        <f aca="false">IFERROR(INDEX(Scoring!$B$27:$B$56,MATCH($E156,Scoring!$A$27:$A$56,0)),0)</f>
        <v>0</v>
      </c>
      <c r="W156" s="24" t="n">
        <f aca="false">IF($G156="","",ROUND((Scoring!$B$5-$G156)/30.4375,1))</f>
        <v>28.1</v>
      </c>
      <c r="X156" s="12" t="n">
        <f aca="false">IF($F156="Expired",Scoring!$B$18,IF($G156="",Scoring!$B$17,IF(W156&lt;=Scoring!$B$12,Scoring!$B$13,IF(W156&lt;=Scoring!$B$14,Scoring!$B$15,Scoring!$B$16))))</f>
        <v>0</v>
      </c>
      <c r="Y156" s="15" t="str">
        <f aca="false">IF($M156="","",ROUND((S156*Scoring!$B$6+U156*Scoring!$B$7)*IFERROR(INDEX(Scoring!$B$22:$B$24,MATCH($N156,Scoring!$A$22:$A$24,0)),1)+V156*Scoring!$B$8+X156,2))</f>
        <v/>
      </c>
      <c r="Z156" s="12" t="str">
        <f aca="false">IF($M156="","",IF(SUMPRODUCT(($M$5:$M$249=$M156)*($G$5:$G$249&gt;$G156))&gt;0,0,IF(SUMPRODUCT(($M$5:$M$249=$M156)*($G$5:$G$249=$G156)*(ROW($M$5:$M$249)&lt;ROW($M156)))&gt;0,0,1)))</f>
        <v/>
      </c>
      <c r="AA156" s="12" t="str">
        <f aca="false">IF($Z156=1,RANK($AE156,$AE$5:$AE$249,0),"")</f>
        <v/>
      </c>
      <c r="AB156" s="7" t="s">
        <v>153</v>
      </c>
      <c r="AC156" s="6" t="s">
        <v>162</v>
      </c>
      <c r="AD156" s="6"/>
      <c r="AE156" s="25" t="str">
        <f aca="false">IF($Z156=1,$Y156+$T156/1000000000-ROW()/10000000,"")</f>
        <v/>
      </c>
    </row>
    <row r="157" customFormat="false" ht="23.85" hidden="false" customHeight="false" outlineLevel="0" collapsed="false">
      <c r="A157" s="7" t="s">
        <v>916</v>
      </c>
      <c r="B157" s="6" t="s">
        <v>674</v>
      </c>
      <c r="C157" s="6" t="s">
        <v>917</v>
      </c>
      <c r="D157" s="7" t="s">
        <v>757</v>
      </c>
      <c r="E157" s="7" t="s">
        <v>801</v>
      </c>
      <c r="F157" s="12" t="s">
        <v>158</v>
      </c>
      <c r="G157" s="13" t="n">
        <v>45490</v>
      </c>
      <c r="H157" s="7" t="s">
        <v>918</v>
      </c>
      <c r="I157" s="6" t="s">
        <v>149</v>
      </c>
      <c r="J157" s="7" t="s">
        <v>60</v>
      </c>
      <c r="K157" s="12"/>
      <c r="L157" s="10" t="s">
        <v>919</v>
      </c>
      <c r="M157" s="7"/>
      <c r="N157" s="12"/>
      <c r="O157" s="12" t="str">
        <f aca="false">IF($M157="","",IF(COUNTIFS('QC listings'!$A$5:$A$200,$M157,'QC listings'!$C$5:$C$200,O$4,'QC listings'!$F$5:$F$200,"Listing page")+COUNTIFS('QC listings'!$A$5:$A$200,$M157,'QC listings'!$C$5:$C$200,O$4,'QC listings'!$F$5:$F$200,"Brand page")&gt;0,"Y",IF(COUNTIFS('QC listings'!$A$5:$A$200,$M157,'QC listings'!$C$5:$C$200,O$4)&gt;0,"?","–")))</f>
        <v/>
      </c>
      <c r="P157" s="12" t="str">
        <f aca="false">IF($M157="","",IF(COUNTIFS('QC listings'!$A$5:$A$200,$M157,'QC listings'!$C$5:$C$200,P$4,'QC listings'!$F$5:$F$200,"Listing page")+COUNTIFS('QC listings'!$A$5:$A$200,$M157,'QC listings'!$C$5:$C$200,P$4,'QC listings'!$F$5:$F$200,"Brand page")&gt;0,"Y",IF(COUNTIFS('QC listings'!$A$5:$A$200,$M157,'QC listings'!$C$5:$C$200,P$4)&gt;0,"?","–")))</f>
        <v/>
      </c>
      <c r="Q157" s="12" t="str">
        <f aca="false">IF($M157="","",IF(COUNTIFS('QC listings'!$A$5:$A$200,$M157,'QC listings'!$C$5:$C$200,Q$4,'QC listings'!$F$5:$F$200,"Listing page")+COUNTIFS('QC listings'!$A$5:$A$200,$M157,'QC listings'!$C$5:$C$200,Q$4,'QC listings'!$F$5:$F$200,"Brand page")&gt;0,"Y",IF(COUNTIFS('QC listings'!$A$5:$A$200,$M157,'QC listings'!$C$5:$C$200,Q$4)&gt;0,"?","–")))</f>
        <v/>
      </c>
      <c r="R157" s="12" t="str">
        <f aca="false">IF($M157="","",IF(COUNTIFS('QC listings'!$A$5:$A$200,$M157,'QC listings'!$C$5:$C$200,R$4,'QC listings'!$F$5:$F$200,"Listing page")+COUNTIFS('QC listings'!$A$5:$A$200,$M157,'QC listings'!$C$5:$C$200,R$4,'QC listings'!$F$5:$F$200,"Brand page")&gt;0,"Y",IF(COUNTIFS('QC listings'!$A$5:$A$200,$M157,'QC listings'!$C$5:$C$200,R$4)&gt;0,"?","–")))</f>
        <v/>
      </c>
      <c r="S157" s="12" t="str">
        <f aca="false">IF($M157="","",COUNTIF(O157:R157,"Y"))</f>
        <v/>
      </c>
      <c r="T157" s="23" t="str">
        <f aca="false">IF($M157="","",SUMPRODUCT(MAX(('QC listings'!$A$5:$A$200=$M157)*'QC listings'!$E$5:$E$200)))</f>
        <v/>
      </c>
      <c r="U157" s="12" t="str">
        <f aca="false">IF($M157="","",IF(T157&gt;=Scoring!$B$11,3,IF(T157&gt;=Scoring!$B$10,2,IF(T157&gt;=Scoring!$B$9,1,0))))</f>
        <v/>
      </c>
      <c r="V157" s="12" t="n">
        <f aca="false">IFERROR(INDEX(Scoring!$B$27:$B$56,MATCH($E157,Scoring!$A$27:$A$56,0)),0)</f>
        <v>0</v>
      </c>
      <c r="W157" s="24" t="n">
        <f aca="false">IF($G157="","",ROUND((Scoring!$B$5-$G157)/30.4375,1))</f>
        <v>26.5</v>
      </c>
      <c r="X157" s="12" t="n">
        <f aca="false">IF($F157="Expired",Scoring!$B$18,IF($G157="",Scoring!$B$17,IF(W157&lt;=Scoring!$B$12,Scoring!$B$13,IF(W157&lt;=Scoring!$B$14,Scoring!$B$15,Scoring!$B$16))))</f>
        <v>0</v>
      </c>
      <c r="Y157" s="15" t="str">
        <f aca="false">IF($M157="","",ROUND((S157*Scoring!$B$6+U157*Scoring!$B$7)*IFERROR(INDEX(Scoring!$B$22:$B$24,MATCH($N157,Scoring!$A$22:$A$24,0)),1)+V157*Scoring!$B$8+X157,2))</f>
        <v/>
      </c>
      <c r="Z157" s="12" t="str">
        <f aca="false">IF($M157="","",IF(SUMPRODUCT(($M$5:$M$249=$M157)*($G$5:$G$249&gt;$G157))&gt;0,0,IF(SUMPRODUCT(($M$5:$M$249=$M157)*($G$5:$G$249=$G157)*(ROW($M$5:$M$249)&lt;ROW($M157)))&gt;0,0,1)))</f>
        <v/>
      </c>
      <c r="AA157" s="12" t="str">
        <f aca="false">IF($Z157=1,RANK($AE157,$AE$5:$AE$249,0),"")</f>
        <v/>
      </c>
      <c r="AB157" s="7" t="s">
        <v>153</v>
      </c>
      <c r="AC157" s="6" t="s">
        <v>162</v>
      </c>
      <c r="AD157" s="6"/>
      <c r="AE157" s="25" t="str">
        <f aca="false">IF($Z157=1,$Y157+$T157/1000000000-ROW()/10000000,"")</f>
        <v/>
      </c>
    </row>
    <row r="158" customFormat="false" ht="23.85" hidden="false" customHeight="false" outlineLevel="0" collapsed="false">
      <c r="A158" s="7" t="s">
        <v>920</v>
      </c>
      <c r="B158" s="6" t="s">
        <v>921</v>
      </c>
      <c r="C158" s="6" t="s">
        <v>884</v>
      </c>
      <c r="D158" s="7" t="s">
        <v>757</v>
      </c>
      <c r="E158" s="7" t="s">
        <v>801</v>
      </c>
      <c r="F158" s="12" t="s">
        <v>158</v>
      </c>
      <c r="G158" s="13" t="n">
        <v>45774</v>
      </c>
      <c r="H158" s="7" t="s">
        <v>922</v>
      </c>
      <c r="I158" s="6" t="s">
        <v>149</v>
      </c>
      <c r="J158" s="7" t="s">
        <v>60</v>
      </c>
      <c r="K158" s="12"/>
      <c r="L158" s="10" t="s">
        <v>923</v>
      </c>
      <c r="M158" s="7"/>
      <c r="N158" s="12"/>
      <c r="O158" s="12" t="str">
        <f aca="false">IF($M158="","",IF(COUNTIFS('QC listings'!$A$5:$A$200,$M158,'QC listings'!$C$5:$C$200,O$4,'QC listings'!$F$5:$F$200,"Listing page")+COUNTIFS('QC listings'!$A$5:$A$200,$M158,'QC listings'!$C$5:$C$200,O$4,'QC listings'!$F$5:$F$200,"Brand page")&gt;0,"Y",IF(COUNTIFS('QC listings'!$A$5:$A$200,$M158,'QC listings'!$C$5:$C$200,O$4)&gt;0,"?","–")))</f>
        <v/>
      </c>
      <c r="P158" s="12" t="str">
        <f aca="false">IF($M158="","",IF(COUNTIFS('QC listings'!$A$5:$A$200,$M158,'QC listings'!$C$5:$C$200,P$4,'QC listings'!$F$5:$F$200,"Listing page")+COUNTIFS('QC listings'!$A$5:$A$200,$M158,'QC listings'!$C$5:$C$200,P$4,'QC listings'!$F$5:$F$200,"Brand page")&gt;0,"Y",IF(COUNTIFS('QC listings'!$A$5:$A$200,$M158,'QC listings'!$C$5:$C$200,P$4)&gt;0,"?","–")))</f>
        <v/>
      </c>
      <c r="Q158" s="12" t="str">
        <f aca="false">IF($M158="","",IF(COUNTIFS('QC listings'!$A$5:$A$200,$M158,'QC listings'!$C$5:$C$200,Q$4,'QC listings'!$F$5:$F$200,"Listing page")+COUNTIFS('QC listings'!$A$5:$A$200,$M158,'QC listings'!$C$5:$C$200,Q$4,'QC listings'!$F$5:$F$200,"Brand page")&gt;0,"Y",IF(COUNTIFS('QC listings'!$A$5:$A$200,$M158,'QC listings'!$C$5:$C$200,Q$4)&gt;0,"?","–")))</f>
        <v/>
      </c>
      <c r="R158" s="12" t="str">
        <f aca="false">IF($M158="","",IF(COUNTIFS('QC listings'!$A$5:$A$200,$M158,'QC listings'!$C$5:$C$200,R$4,'QC listings'!$F$5:$F$200,"Listing page")+COUNTIFS('QC listings'!$A$5:$A$200,$M158,'QC listings'!$C$5:$C$200,R$4,'QC listings'!$F$5:$F$200,"Brand page")&gt;0,"Y",IF(COUNTIFS('QC listings'!$A$5:$A$200,$M158,'QC listings'!$C$5:$C$200,R$4)&gt;0,"?","–")))</f>
        <v/>
      </c>
      <c r="S158" s="12" t="str">
        <f aca="false">IF($M158="","",COUNTIF(O158:R158,"Y"))</f>
        <v/>
      </c>
      <c r="T158" s="23" t="str">
        <f aca="false">IF($M158="","",SUMPRODUCT(MAX(('QC listings'!$A$5:$A$200=$M158)*'QC listings'!$E$5:$E$200)))</f>
        <v/>
      </c>
      <c r="U158" s="12" t="str">
        <f aca="false">IF($M158="","",IF(T158&gt;=Scoring!$B$11,3,IF(T158&gt;=Scoring!$B$10,2,IF(T158&gt;=Scoring!$B$9,1,0))))</f>
        <v/>
      </c>
      <c r="V158" s="12" t="n">
        <f aca="false">IFERROR(INDEX(Scoring!$B$27:$B$56,MATCH($E158,Scoring!$A$27:$A$56,0)),0)</f>
        <v>0</v>
      </c>
      <c r="W158" s="24" t="n">
        <f aca="false">IF($G158="","",ROUND((Scoring!$B$5-$G158)/30.4375,1))</f>
        <v>17.2</v>
      </c>
      <c r="X158" s="12" t="n">
        <f aca="false">IF($F158="Expired",Scoring!$B$18,IF($G158="",Scoring!$B$17,IF(W158&lt;=Scoring!$B$12,Scoring!$B$13,IF(W158&lt;=Scoring!$B$14,Scoring!$B$15,Scoring!$B$16))))</f>
        <v>1</v>
      </c>
      <c r="Y158" s="15" t="str">
        <f aca="false">IF($M158="","",ROUND((S158*Scoring!$B$6+U158*Scoring!$B$7)*IFERROR(INDEX(Scoring!$B$22:$B$24,MATCH($N158,Scoring!$A$22:$A$24,0)),1)+V158*Scoring!$B$8+X158,2))</f>
        <v/>
      </c>
      <c r="Z158" s="12" t="str">
        <f aca="false">IF($M158="","",IF(SUMPRODUCT(($M$5:$M$249=$M158)*($G$5:$G$249&gt;$G158))&gt;0,0,IF(SUMPRODUCT(($M$5:$M$249=$M158)*($G$5:$G$249=$G158)*(ROW($M$5:$M$249)&lt;ROW($M158)))&gt;0,0,1)))</f>
        <v/>
      </c>
      <c r="AA158" s="12" t="str">
        <f aca="false">IF($Z158=1,RANK($AE158,$AE$5:$AE$249,0),"")</f>
        <v/>
      </c>
      <c r="AB158" s="7" t="s">
        <v>153</v>
      </c>
      <c r="AC158" s="6" t="s">
        <v>162</v>
      </c>
      <c r="AD158" s="6"/>
      <c r="AE158" s="25" t="str">
        <f aca="false">IF($Z158=1,$Y158+$T158/1000000000-ROW()/10000000,"")</f>
        <v/>
      </c>
    </row>
    <row r="159" customFormat="false" ht="23.85" hidden="false" customHeight="false" outlineLevel="0" collapsed="false">
      <c r="A159" s="7" t="s">
        <v>924</v>
      </c>
      <c r="B159" s="6" t="s">
        <v>925</v>
      </c>
      <c r="C159" s="6" t="s">
        <v>926</v>
      </c>
      <c r="D159" s="7" t="s">
        <v>757</v>
      </c>
      <c r="E159" s="7" t="s">
        <v>801</v>
      </c>
      <c r="F159" s="12" t="s">
        <v>158</v>
      </c>
      <c r="G159" s="13" t="n">
        <v>45596</v>
      </c>
      <c r="H159" s="7" t="s">
        <v>927</v>
      </c>
      <c r="I159" s="6" t="s">
        <v>149</v>
      </c>
      <c r="J159" s="7" t="s">
        <v>60</v>
      </c>
      <c r="K159" s="12"/>
      <c r="L159" s="10" t="s">
        <v>928</v>
      </c>
      <c r="M159" s="7"/>
      <c r="N159" s="12"/>
      <c r="O159" s="12" t="str">
        <f aca="false">IF($M159="","",IF(COUNTIFS('QC listings'!$A$5:$A$200,$M159,'QC listings'!$C$5:$C$200,O$4,'QC listings'!$F$5:$F$200,"Listing page")+COUNTIFS('QC listings'!$A$5:$A$200,$M159,'QC listings'!$C$5:$C$200,O$4,'QC listings'!$F$5:$F$200,"Brand page")&gt;0,"Y",IF(COUNTIFS('QC listings'!$A$5:$A$200,$M159,'QC listings'!$C$5:$C$200,O$4)&gt;0,"?","–")))</f>
        <v/>
      </c>
      <c r="P159" s="12" t="str">
        <f aca="false">IF($M159="","",IF(COUNTIFS('QC listings'!$A$5:$A$200,$M159,'QC listings'!$C$5:$C$200,P$4,'QC listings'!$F$5:$F$200,"Listing page")+COUNTIFS('QC listings'!$A$5:$A$200,$M159,'QC listings'!$C$5:$C$200,P$4,'QC listings'!$F$5:$F$200,"Brand page")&gt;0,"Y",IF(COUNTIFS('QC listings'!$A$5:$A$200,$M159,'QC listings'!$C$5:$C$200,P$4)&gt;0,"?","–")))</f>
        <v/>
      </c>
      <c r="Q159" s="12" t="str">
        <f aca="false">IF($M159="","",IF(COUNTIFS('QC listings'!$A$5:$A$200,$M159,'QC listings'!$C$5:$C$200,Q$4,'QC listings'!$F$5:$F$200,"Listing page")+COUNTIFS('QC listings'!$A$5:$A$200,$M159,'QC listings'!$C$5:$C$200,Q$4,'QC listings'!$F$5:$F$200,"Brand page")&gt;0,"Y",IF(COUNTIFS('QC listings'!$A$5:$A$200,$M159,'QC listings'!$C$5:$C$200,Q$4)&gt;0,"?","–")))</f>
        <v/>
      </c>
      <c r="R159" s="12" t="str">
        <f aca="false">IF($M159="","",IF(COUNTIFS('QC listings'!$A$5:$A$200,$M159,'QC listings'!$C$5:$C$200,R$4,'QC listings'!$F$5:$F$200,"Listing page")+COUNTIFS('QC listings'!$A$5:$A$200,$M159,'QC listings'!$C$5:$C$200,R$4,'QC listings'!$F$5:$F$200,"Brand page")&gt;0,"Y",IF(COUNTIFS('QC listings'!$A$5:$A$200,$M159,'QC listings'!$C$5:$C$200,R$4)&gt;0,"?","–")))</f>
        <v/>
      </c>
      <c r="S159" s="12" t="str">
        <f aca="false">IF($M159="","",COUNTIF(O159:R159,"Y"))</f>
        <v/>
      </c>
      <c r="T159" s="23" t="str">
        <f aca="false">IF($M159="","",SUMPRODUCT(MAX(('QC listings'!$A$5:$A$200=$M159)*'QC listings'!$E$5:$E$200)))</f>
        <v/>
      </c>
      <c r="U159" s="12" t="str">
        <f aca="false">IF($M159="","",IF(T159&gt;=Scoring!$B$11,3,IF(T159&gt;=Scoring!$B$10,2,IF(T159&gt;=Scoring!$B$9,1,0))))</f>
        <v/>
      </c>
      <c r="V159" s="12" t="n">
        <f aca="false">IFERROR(INDEX(Scoring!$B$27:$B$56,MATCH($E159,Scoring!$A$27:$A$56,0)),0)</f>
        <v>0</v>
      </c>
      <c r="W159" s="24" t="n">
        <f aca="false">IF($G159="","",ROUND((Scoring!$B$5-$G159)/30.4375,1))</f>
        <v>23</v>
      </c>
      <c r="X159" s="12" t="n">
        <f aca="false">IF($F159="Expired",Scoring!$B$18,IF($G159="",Scoring!$B$17,IF(W159&lt;=Scoring!$B$12,Scoring!$B$13,IF(W159&lt;=Scoring!$B$14,Scoring!$B$15,Scoring!$B$16))))</f>
        <v>1</v>
      </c>
      <c r="Y159" s="15" t="str">
        <f aca="false">IF($M159="","",ROUND((S159*Scoring!$B$6+U159*Scoring!$B$7)*IFERROR(INDEX(Scoring!$B$22:$B$24,MATCH($N159,Scoring!$A$22:$A$24,0)),1)+V159*Scoring!$B$8+X159,2))</f>
        <v/>
      </c>
      <c r="Z159" s="12" t="str">
        <f aca="false">IF($M159="","",IF(SUMPRODUCT(($M$5:$M$249=$M159)*($G$5:$G$249&gt;$G159))&gt;0,0,IF(SUMPRODUCT(($M$5:$M$249=$M159)*($G$5:$G$249=$G159)*(ROW($M$5:$M$249)&lt;ROW($M159)))&gt;0,0,1)))</f>
        <v/>
      </c>
      <c r="AA159" s="12" t="str">
        <f aca="false">IF($Z159=1,RANK($AE159,$AE$5:$AE$249,0),"")</f>
        <v/>
      </c>
      <c r="AB159" s="7" t="s">
        <v>153</v>
      </c>
      <c r="AC159" s="6" t="s">
        <v>162</v>
      </c>
      <c r="AD159" s="6"/>
      <c r="AE159" s="25" t="str">
        <f aca="false">IF($Z159=1,$Y159+$T159/1000000000-ROW()/10000000,"")</f>
        <v/>
      </c>
    </row>
    <row r="160" customFormat="false" ht="23.85" hidden="false" customHeight="false" outlineLevel="0" collapsed="false">
      <c r="A160" s="7" t="s">
        <v>929</v>
      </c>
      <c r="B160" s="6" t="s">
        <v>930</v>
      </c>
      <c r="C160" s="6" t="s">
        <v>931</v>
      </c>
      <c r="D160" s="7" t="s">
        <v>757</v>
      </c>
      <c r="E160" s="7" t="s">
        <v>801</v>
      </c>
      <c r="F160" s="12" t="s">
        <v>158</v>
      </c>
      <c r="G160" s="13" t="n">
        <v>45818</v>
      </c>
      <c r="H160" s="7" t="s">
        <v>932</v>
      </c>
      <c r="I160" s="6" t="s">
        <v>149</v>
      </c>
      <c r="J160" s="7" t="s">
        <v>60</v>
      </c>
      <c r="K160" s="12"/>
      <c r="L160" s="10" t="s">
        <v>933</v>
      </c>
      <c r="M160" s="7"/>
      <c r="N160" s="12"/>
      <c r="O160" s="12" t="str">
        <f aca="false">IF($M160="","",IF(COUNTIFS('QC listings'!$A$5:$A$200,$M160,'QC listings'!$C$5:$C$200,O$4,'QC listings'!$F$5:$F$200,"Listing page")+COUNTIFS('QC listings'!$A$5:$A$200,$M160,'QC listings'!$C$5:$C$200,O$4,'QC listings'!$F$5:$F$200,"Brand page")&gt;0,"Y",IF(COUNTIFS('QC listings'!$A$5:$A$200,$M160,'QC listings'!$C$5:$C$200,O$4)&gt;0,"?","–")))</f>
        <v/>
      </c>
      <c r="P160" s="12" t="str">
        <f aca="false">IF($M160="","",IF(COUNTIFS('QC listings'!$A$5:$A$200,$M160,'QC listings'!$C$5:$C$200,P$4,'QC listings'!$F$5:$F$200,"Listing page")+COUNTIFS('QC listings'!$A$5:$A$200,$M160,'QC listings'!$C$5:$C$200,P$4,'QC listings'!$F$5:$F$200,"Brand page")&gt;0,"Y",IF(COUNTIFS('QC listings'!$A$5:$A$200,$M160,'QC listings'!$C$5:$C$200,P$4)&gt;0,"?","–")))</f>
        <v/>
      </c>
      <c r="Q160" s="12" t="str">
        <f aca="false">IF($M160="","",IF(COUNTIFS('QC listings'!$A$5:$A$200,$M160,'QC listings'!$C$5:$C$200,Q$4,'QC listings'!$F$5:$F$200,"Listing page")+COUNTIFS('QC listings'!$A$5:$A$200,$M160,'QC listings'!$C$5:$C$200,Q$4,'QC listings'!$F$5:$F$200,"Brand page")&gt;0,"Y",IF(COUNTIFS('QC listings'!$A$5:$A$200,$M160,'QC listings'!$C$5:$C$200,Q$4)&gt;0,"?","–")))</f>
        <v/>
      </c>
      <c r="R160" s="12" t="str">
        <f aca="false">IF($M160="","",IF(COUNTIFS('QC listings'!$A$5:$A$200,$M160,'QC listings'!$C$5:$C$200,R$4,'QC listings'!$F$5:$F$200,"Listing page")+COUNTIFS('QC listings'!$A$5:$A$200,$M160,'QC listings'!$C$5:$C$200,R$4,'QC listings'!$F$5:$F$200,"Brand page")&gt;0,"Y",IF(COUNTIFS('QC listings'!$A$5:$A$200,$M160,'QC listings'!$C$5:$C$200,R$4)&gt;0,"?","–")))</f>
        <v/>
      </c>
      <c r="S160" s="12" t="str">
        <f aca="false">IF($M160="","",COUNTIF(O160:R160,"Y"))</f>
        <v/>
      </c>
      <c r="T160" s="23" t="str">
        <f aca="false">IF($M160="","",SUMPRODUCT(MAX(('QC listings'!$A$5:$A$200=$M160)*'QC listings'!$E$5:$E$200)))</f>
        <v/>
      </c>
      <c r="U160" s="12" t="str">
        <f aca="false">IF($M160="","",IF(T160&gt;=Scoring!$B$11,3,IF(T160&gt;=Scoring!$B$10,2,IF(T160&gt;=Scoring!$B$9,1,0))))</f>
        <v/>
      </c>
      <c r="V160" s="12" t="n">
        <f aca="false">IFERROR(INDEX(Scoring!$B$27:$B$56,MATCH($E160,Scoring!$A$27:$A$56,0)),0)</f>
        <v>0</v>
      </c>
      <c r="W160" s="24" t="n">
        <f aca="false">IF($G160="","",ROUND((Scoring!$B$5-$G160)/30.4375,1))</f>
        <v>15.7</v>
      </c>
      <c r="X160" s="12" t="n">
        <f aca="false">IF($F160="Expired",Scoring!$B$18,IF($G160="",Scoring!$B$17,IF(W160&lt;=Scoring!$B$12,Scoring!$B$13,IF(W160&lt;=Scoring!$B$14,Scoring!$B$15,Scoring!$B$16))))</f>
        <v>1</v>
      </c>
      <c r="Y160" s="15" t="str">
        <f aca="false">IF($M160="","",ROUND((S160*Scoring!$B$6+U160*Scoring!$B$7)*IFERROR(INDEX(Scoring!$B$22:$B$24,MATCH($N160,Scoring!$A$22:$A$24,0)),1)+V160*Scoring!$B$8+X160,2))</f>
        <v/>
      </c>
      <c r="Z160" s="12" t="str">
        <f aca="false">IF($M160="","",IF(SUMPRODUCT(($M$5:$M$249=$M160)*($G$5:$G$249&gt;$G160))&gt;0,0,IF(SUMPRODUCT(($M$5:$M$249=$M160)*($G$5:$G$249=$G160)*(ROW($M$5:$M$249)&lt;ROW($M160)))&gt;0,0,1)))</f>
        <v/>
      </c>
      <c r="AA160" s="12" t="str">
        <f aca="false">IF($Z160=1,RANK($AE160,$AE$5:$AE$249,0),"")</f>
        <v/>
      </c>
      <c r="AB160" s="7" t="s">
        <v>153</v>
      </c>
      <c r="AC160" s="6" t="s">
        <v>162</v>
      </c>
      <c r="AD160" s="6"/>
      <c r="AE160" s="25" t="str">
        <f aca="false">IF($Z160=1,$Y160+$T160/1000000000-ROW()/10000000,"")</f>
        <v/>
      </c>
    </row>
    <row r="161" customFormat="false" ht="23.85" hidden="false" customHeight="false" outlineLevel="0" collapsed="false">
      <c r="A161" s="7" t="s">
        <v>934</v>
      </c>
      <c r="B161" s="6" t="s">
        <v>930</v>
      </c>
      <c r="C161" s="6" t="s">
        <v>935</v>
      </c>
      <c r="D161" s="7" t="s">
        <v>757</v>
      </c>
      <c r="E161" s="7" t="s">
        <v>801</v>
      </c>
      <c r="F161" s="12" t="s">
        <v>158</v>
      </c>
      <c r="G161" s="13" t="n">
        <v>45969</v>
      </c>
      <c r="H161" s="7" t="s">
        <v>936</v>
      </c>
      <c r="I161" s="6" t="s">
        <v>149</v>
      </c>
      <c r="J161" s="7" t="s">
        <v>60</v>
      </c>
      <c r="K161" s="12"/>
      <c r="L161" s="10" t="s">
        <v>937</v>
      </c>
      <c r="M161" s="7"/>
      <c r="N161" s="12"/>
      <c r="O161" s="12" t="str">
        <f aca="false">IF($M161="","",IF(COUNTIFS('QC listings'!$A$5:$A$200,$M161,'QC listings'!$C$5:$C$200,O$4,'QC listings'!$F$5:$F$200,"Listing page")+COUNTIFS('QC listings'!$A$5:$A$200,$M161,'QC listings'!$C$5:$C$200,O$4,'QC listings'!$F$5:$F$200,"Brand page")&gt;0,"Y",IF(COUNTIFS('QC listings'!$A$5:$A$200,$M161,'QC listings'!$C$5:$C$200,O$4)&gt;0,"?","–")))</f>
        <v/>
      </c>
      <c r="P161" s="12" t="str">
        <f aca="false">IF($M161="","",IF(COUNTIFS('QC listings'!$A$5:$A$200,$M161,'QC listings'!$C$5:$C$200,P$4,'QC listings'!$F$5:$F$200,"Listing page")+COUNTIFS('QC listings'!$A$5:$A$200,$M161,'QC listings'!$C$5:$C$200,P$4,'QC listings'!$F$5:$F$200,"Brand page")&gt;0,"Y",IF(COUNTIFS('QC listings'!$A$5:$A$200,$M161,'QC listings'!$C$5:$C$200,P$4)&gt;0,"?","–")))</f>
        <v/>
      </c>
      <c r="Q161" s="12" t="str">
        <f aca="false">IF($M161="","",IF(COUNTIFS('QC listings'!$A$5:$A$200,$M161,'QC listings'!$C$5:$C$200,Q$4,'QC listings'!$F$5:$F$200,"Listing page")+COUNTIFS('QC listings'!$A$5:$A$200,$M161,'QC listings'!$C$5:$C$200,Q$4,'QC listings'!$F$5:$F$200,"Brand page")&gt;0,"Y",IF(COUNTIFS('QC listings'!$A$5:$A$200,$M161,'QC listings'!$C$5:$C$200,Q$4)&gt;0,"?","–")))</f>
        <v/>
      </c>
      <c r="R161" s="12" t="str">
        <f aca="false">IF($M161="","",IF(COUNTIFS('QC listings'!$A$5:$A$200,$M161,'QC listings'!$C$5:$C$200,R$4,'QC listings'!$F$5:$F$200,"Listing page")+COUNTIFS('QC listings'!$A$5:$A$200,$M161,'QC listings'!$C$5:$C$200,R$4,'QC listings'!$F$5:$F$200,"Brand page")&gt;0,"Y",IF(COUNTIFS('QC listings'!$A$5:$A$200,$M161,'QC listings'!$C$5:$C$200,R$4)&gt;0,"?","–")))</f>
        <v/>
      </c>
      <c r="S161" s="12" t="str">
        <f aca="false">IF($M161="","",COUNTIF(O161:R161,"Y"))</f>
        <v/>
      </c>
      <c r="T161" s="23" t="str">
        <f aca="false">IF($M161="","",SUMPRODUCT(MAX(('QC listings'!$A$5:$A$200=$M161)*'QC listings'!$E$5:$E$200)))</f>
        <v/>
      </c>
      <c r="U161" s="12" t="str">
        <f aca="false">IF($M161="","",IF(T161&gt;=Scoring!$B$11,3,IF(T161&gt;=Scoring!$B$10,2,IF(T161&gt;=Scoring!$B$9,1,0))))</f>
        <v/>
      </c>
      <c r="V161" s="12" t="n">
        <f aca="false">IFERROR(INDEX(Scoring!$B$27:$B$56,MATCH($E161,Scoring!$A$27:$A$56,0)),0)</f>
        <v>0</v>
      </c>
      <c r="W161" s="24" t="n">
        <f aca="false">IF($G161="","",ROUND((Scoring!$B$5-$G161)/30.4375,1))</f>
        <v>10.8</v>
      </c>
      <c r="X161" s="12" t="n">
        <f aca="false">IF($F161="Expired",Scoring!$B$18,IF($G161="",Scoring!$B$17,IF(W161&lt;=Scoring!$B$12,Scoring!$B$13,IF(W161&lt;=Scoring!$B$14,Scoring!$B$15,Scoring!$B$16))))</f>
        <v>2</v>
      </c>
      <c r="Y161" s="15" t="str">
        <f aca="false">IF($M161="","",ROUND((S161*Scoring!$B$6+U161*Scoring!$B$7)*IFERROR(INDEX(Scoring!$B$22:$B$24,MATCH($N161,Scoring!$A$22:$A$24,0)),1)+V161*Scoring!$B$8+X161,2))</f>
        <v/>
      </c>
      <c r="Z161" s="12" t="str">
        <f aca="false">IF($M161="","",IF(SUMPRODUCT(($M$5:$M$249=$M161)*($G$5:$G$249&gt;$G161))&gt;0,0,IF(SUMPRODUCT(($M$5:$M$249=$M161)*($G$5:$G$249=$G161)*(ROW($M$5:$M$249)&lt;ROW($M161)))&gt;0,0,1)))</f>
        <v/>
      </c>
      <c r="AA161" s="12" t="str">
        <f aca="false">IF($Z161=1,RANK($AE161,$AE$5:$AE$249,0),"")</f>
        <v/>
      </c>
      <c r="AB161" s="7" t="s">
        <v>153</v>
      </c>
      <c r="AC161" s="6" t="s">
        <v>162</v>
      </c>
      <c r="AD161" s="6"/>
      <c r="AE161" s="25" t="str">
        <f aca="false">IF($Z161=1,$Y161+$T161/1000000000-ROW()/10000000,"")</f>
        <v/>
      </c>
    </row>
    <row r="162" customFormat="false" ht="23.85" hidden="false" customHeight="false" outlineLevel="0" collapsed="false">
      <c r="A162" s="7" t="s">
        <v>938</v>
      </c>
      <c r="B162" s="6" t="s">
        <v>939</v>
      </c>
      <c r="C162" s="6" t="s">
        <v>940</v>
      </c>
      <c r="D162" s="7" t="s">
        <v>757</v>
      </c>
      <c r="E162" s="7" t="s">
        <v>801</v>
      </c>
      <c r="F162" s="12" t="s">
        <v>549</v>
      </c>
      <c r="G162" s="13"/>
      <c r="H162" s="7"/>
      <c r="I162" s="6" t="s">
        <v>903</v>
      </c>
      <c r="J162" s="7" t="s">
        <v>60</v>
      </c>
      <c r="K162" s="12"/>
      <c r="L162" s="10" t="s">
        <v>941</v>
      </c>
      <c r="M162" s="7"/>
      <c r="N162" s="12"/>
      <c r="O162" s="12" t="str">
        <f aca="false">IF($M162="","",IF(COUNTIFS('QC listings'!$A$5:$A$200,$M162,'QC listings'!$C$5:$C$200,O$4,'QC listings'!$F$5:$F$200,"Listing page")+COUNTIFS('QC listings'!$A$5:$A$200,$M162,'QC listings'!$C$5:$C$200,O$4,'QC listings'!$F$5:$F$200,"Brand page")&gt;0,"Y",IF(COUNTIFS('QC listings'!$A$5:$A$200,$M162,'QC listings'!$C$5:$C$200,O$4)&gt;0,"?","–")))</f>
        <v/>
      </c>
      <c r="P162" s="12" t="str">
        <f aca="false">IF($M162="","",IF(COUNTIFS('QC listings'!$A$5:$A$200,$M162,'QC listings'!$C$5:$C$200,P$4,'QC listings'!$F$5:$F$200,"Listing page")+COUNTIFS('QC listings'!$A$5:$A$200,$M162,'QC listings'!$C$5:$C$200,P$4,'QC listings'!$F$5:$F$200,"Brand page")&gt;0,"Y",IF(COUNTIFS('QC listings'!$A$5:$A$200,$M162,'QC listings'!$C$5:$C$200,P$4)&gt;0,"?","–")))</f>
        <v/>
      </c>
      <c r="Q162" s="12" t="str">
        <f aca="false">IF($M162="","",IF(COUNTIFS('QC listings'!$A$5:$A$200,$M162,'QC listings'!$C$5:$C$200,Q$4,'QC listings'!$F$5:$F$200,"Listing page")+COUNTIFS('QC listings'!$A$5:$A$200,$M162,'QC listings'!$C$5:$C$200,Q$4,'QC listings'!$F$5:$F$200,"Brand page")&gt;0,"Y",IF(COUNTIFS('QC listings'!$A$5:$A$200,$M162,'QC listings'!$C$5:$C$200,Q$4)&gt;0,"?","–")))</f>
        <v/>
      </c>
      <c r="R162" s="12" t="str">
        <f aca="false">IF($M162="","",IF(COUNTIFS('QC listings'!$A$5:$A$200,$M162,'QC listings'!$C$5:$C$200,R$4,'QC listings'!$F$5:$F$200,"Listing page")+COUNTIFS('QC listings'!$A$5:$A$200,$M162,'QC listings'!$C$5:$C$200,R$4,'QC listings'!$F$5:$F$200,"Brand page")&gt;0,"Y",IF(COUNTIFS('QC listings'!$A$5:$A$200,$M162,'QC listings'!$C$5:$C$200,R$4)&gt;0,"?","–")))</f>
        <v/>
      </c>
      <c r="S162" s="12" t="str">
        <f aca="false">IF($M162="","",COUNTIF(O162:R162,"Y"))</f>
        <v/>
      </c>
      <c r="T162" s="23" t="str">
        <f aca="false">IF($M162="","",SUMPRODUCT(MAX(('QC listings'!$A$5:$A$200=$M162)*'QC listings'!$E$5:$E$200)))</f>
        <v/>
      </c>
      <c r="U162" s="12" t="str">
        <f aca="false">IF($M162="","",IF(T162&gt;=Scoring!$B$11,3,IF(T162&gt;=Scoring!$B$10,2,IF(T162&gt;=Scoring!$B$9,1,0))))</f>
        <v/>
      </c>
      <c r="V162" s="12" t="n">
        <f aca="false">IFERROR(INDEX(Scoring!$B$27:$B$56,MATCH($E162,Scoring!$A$27:$A$56,0)),0)</f>
        <v>0</v>
      </c>
      <c r="W162" s="24" t="str">
        <f aca="false">IF($G162="","",ROUND((Scoring!$B$5-$G162)/30.4375,1))</f>
        <v/>
      </c>
      <c r="X162" s="12" t="n">
        <f aca="false">IF($F162="Expired",Scoring!$B$18,IF($G162="",Scoring!$B$17,IF(W162&lt;=Scoring!$B$12,Scoring!$B$13,IF(W162&lt;=Scoring!$B$14,Scoring!$B$15,Scoring!$B$16))))</f>
        <v>0</v>
      </c>
      <c r="Y162" s="15" t="str">
        <f aca="false">IF($M162="","",ROUND((S162*Scoring!$B$6+U162*Scoring!$B$7)*IFERROR(INDEX(Scoring!$B$22:$B$24,MATCH($N162,Scoring!$A$22:$A$24,0)),1)+V162*Scoring!$B$8+X162,2))</f>
        <v/>
      </c>
      <c r="Z162" s="12" t="str">
        <f aca="false">IF($M162="","",IF(SUMPRODUCT(($M$5:$M$249=$M162)*($G$5:$G$249&gt;$G162))&gt;0,0,IF(SUMPRODUCT(($M$5:$M$249=$M162)*($G$5:$G$249=$G162)*(ROW($M$5:$M$249)&lt;ROW($M162)))&gt;0,0,1)))</f>
        <v/>
      </c>
      <c r="AA162" s="12" t="str">
        <f aca="false">IF($Z162=1,RANK($AE162,$AE$5:$AE$249,0),"")</f>
        <v/>
      </c>
      <c r="AB162" s="7" t="s">
        <v>153</v>
      </c>
      <c r="AC162" s="6" t="s">
        <v>642</v>
      </c>
      <c r="AD162" s="6" t="s">
        <v>942</v>
      </c>
      <c r="AE162" s="25" t="str">
        <f aca="false">IF($Z162=1,$Y162+$T162/1000000000-ROW()/10000000,"")</f>
        <v/>
      </c>
    </row>
    <row r="163" customFormat="false" ht="23.85" hidden="false" customHeight="false" outlineLevel="0" collapsed="false">
      <c r="A163" s="7" t="s">
        <v>943</v>
      </c>
      <c r="B163" s="6" t="s">
        <v>944</v>
      </c>
      <c r="C163" s="6" t="s">
        <v>945</v>
      </c>
      <c r="D163" s="7" t="s">
        <v>757</v>
      </c>
      <c r="E163" s="7" t="s">
        <v>801</v>
      </c>
      <c r="F163" s="12" t="s">
        <v>549</v>
      </c>
      <c r="G163" s="13" t="n">
        <v>45906</v>
      </c>
      <c r="H163" s="7" t="s">
        <v>946</v>
      </c>
      <c r="I163" s="6" t="s">
        <v>149</v>
      </c>
      <c r="J163" s="7" t="s">
        <v>60</v>
      </c>
      <c r="K163" s="12"/>
      <c r="L163" s="10" t="s">
        <v>947</v>
      </c>
      <c r="M163" s="7"/>
      <c r="N163" s="12"/>
      <c r="O163" s="12" t="str">
        <f aca="false">IF($M163="","",IF(COUNTIFS('QC listings'!$A$5:$A$200,$M163,'QC listings'!$C$5:$C$200,O$4,'QC listings'!$F$5:$F$200,"Listing page")+COUNTIFS('QC listings'!$A$5:$A$200,$M163,'QC listings'!$C$5:$C$200,O$4,'QC listings'!$F$5:$F$200,"Brand page")&gt;0,"Y",IF(COUNTIFS('QC listings'!$A$5:$A$200,$M163,'QC listings'!$C$5:$C$200,O$4)&gt;0,"?","–")))</f>
        <v/>
      </c>
      <c r="P163" s="12" t="str">
        <f aca="false">IF($M163="","",IF(COUNTIFS('QC listings'!$A$5:$A$200,$M163,'QC listings'!$C$5:$C$200,P$4,'QC listings'!$F$5:$F$200,"Listing page")+COUNTIFS('QC listings'!$A$5:$A$200,$M163,'QC listings'!$C$5:$C$200,P$4,'QC listings'!$F$5:$F$200,"Brand page")&gt;0,"Y",IF(COUNTIFS('QC listings'!$A$5:$A$200,$M163,'QC listings'!$C$5:$C$200,P$4)&gt;0,"?","–")))</f>
        <v/>
      </c>
      <c r="Q163" s="12" t="str">
        <f aca="false">IF($M163="","",IF(COUNTIFS('QC listings'!$A$5:$A$200,$M163,'QC listings'!$C$5:$C$200,Q$4,'QC listings'!$F$5:$F$200,"Listing page")+COUNTIFS('QC listings'!$A$5:$A$200,$M163,'QC listings'!$C$5:$C$200,Q$4,'QC listings'!$F$5:$F$200,"Brand page")&gt;0,"Y",IF(COUNTIFS('QC listings'!$A$5:$A$200,$M163,'QC listings'!$C$5:$C$200,Q$4)&gt;0,"?","–")))</f>
        <v/>
      </c>
      <c r="R163" s="12" t="str">
        <f aca="false">IF($M163="","",IF(COUNTIFS('QC listings'!$A$5:$A$200,$M163,'QC listings'!$C$5:$C$200,R$4,'QC listings'!$F$5:$F$200,"Listing page")+COUNTIFS('QC listings'!$A$5:$A$200,$M163,'QC listings'!$C$5:$C$200,R$4,'QC listings'!$F$5:$F$200,"Brand page")&gt;0,"Y",IF(COUNTIFS('QC listings'!$A$5:$A$200,$M163,'QC listings'!$C$5:$C$200,R$4)&gt;0,"?","–")))</f>
        <v/>
      </c>
      <c r="S163" s="12" t="str">
        <f aca="false">IF($M163="","",COUNTIF(O163:R163,"Y"))</f>
        <v/>
      </c>
      <c r="T163" s="23" t="str">
        <f aca="false">IF($M163="","",SUMPRODUCT(MAX(('QC listings'!$A$5:$A$200=$M163)*'QC listings'!$E$5:$E$200)))</f>
        <v/>
      </c>
      <c r="U163" s="12" t="str">
        <f aca="false">IF($M163="","",IF(T163&gt;=Scoring!$B$11,3,IF(T163&gt;=Scoring!$B$10,2,IF(T163&gt;=Scoring!$B$9,1,0))))</f>
        <v/>
      </c>
      <c r="V163" s="12" t="n">
        <f aca="false">IFERROR(INDEX(Scoring!$B$27:$B$56,MATCH($E163,Scoring!$A$27:$A$56,0)),0)</f>
        <v>0</v>
      </c>
      <c r="W163" s="24" t="n">
        <f aca="false">IF($G163="","",ROUND((Scoring!$B$5-$G163)/30.4375,1))</f>
        <v>12.8</v>
      </c>
      <c r="X163" s="12" t="n">
        <f aca="false">IF($F163="Expired",Scoring!$B$18,IF($G163="",Scoring!$B$17,IF(W163&lt;=Scoring!$B$12,Scoring!$B$13,IF(W163&lt;=Scoring!$B$14,Scoring!$B$15,Scoring!$B$16))))</f>
        <v>0</v>
      </c>
      <c r="Y163" s="15" t="str">
        <f aca="false">IF($M163="","",ROUND((S163*Scoring!$B$6+U163*Scoring!$B$7)*IFERROR(INDEX(Scoring!$B$22:$B$24,MATCH($N163,Scoring!$A$22:$A$24,0)),1)+V163*Scoring!$B$8+X163,2))</f>
        <v/>
      </c>
      <c r="Z163" s="12" t="str">
        <f aca="false">IF($M163="","",IF(SUMPRODUCT(($M$5:$M$249=$M163)*($G$5:$G$249&gt;$G163))&gt;0,0,IF(SUMPRODUCT(($M$5:$M$249=$M163)*($G$5:$G$249=$G163)*(ROW($M$5:$M$249)&lt;ROW($M163)))&gt;0,0,1)))</f>
        <v/>
      </c>
      <c r="AA163" s="12" t="str">
        <f aca="false">IF($Z163=1,RANK($AE163,$AE$5:$AE$249,0),"")</f>
        <v/>
      </c>
      <c r="AB163" s="7" t="s">
        <v>153</v>
      </c>
      <c r="AC163" s="6" t="s">
        <v>642</v>
      </c>
      <c r="AD163" s="6"/>
      <c r="AE163" s="25" t="str">
        <f aca="false">IF($Z163=1,$Y163+$T163/1000000000-ROW()/10000000,"")</f>
        <v/>
      </c>
    </row>
    <row r="164" customFormat="false" ht="23.85" hidden="false" customHeight="false" outlineLevel="0" collapsed="false">
      <c r="A164" s="7" t="s">
        <v>948</v>
      </c>
      <c r="B164" s="6" t="s">
        <v>949</v>
      </c>
      <c r="C164" s="6" t="s">
        <v>950</v>
      </c>
      <c r="D164" s="7" t="s">
        <v>757</v>
      </c>
      <c r="E164" s="7" t="s">
        <v>801</v>
      </c>
      <c r="F164" s="12" t="s">
        <v>147</v>
      </c>
      <c r="G164" s="13" t="n">
        <v>45637</v>
      </c>
      <c r="H164" s="7" t="s">
        <v>951</v>
      </c>
      <c r="I164" s="6" t="s">
        <v>952</v>
      </c>
      <c r="J164" s="7" t="s">
        <v>60</v>
      </c>
      <c r="K164" s="12"/>
      <c r="L164" s="10" t="s">
        <v>953</v>
      </c>
      <c r="M164" s="7"/>
      <c r="N164" s="12"/>
      <c r="O164" s="12" t="str">
        <f aca="false">IF($M164="","",IF(COUNTIFS('QC listings'!$A$5:$A$200,$M164,'QC listings'!$C$5:$C$200,O$4,'QC listings'!$F$5:$F$200,"Listing page")+COUNTIFS('QC listings'!$A$5:$A$200,$M164,'QC listings'!$C$5:$C$200,O$4,'QC listings'!$F$5:$F$200,"Brand page")&gt;0,"Y",IF(COUNTIFS('QC listings'!$A$5:$A$200,$M164,'QC listings'!$C$5:$C$200,O$4)&gt;0,"?","–")))</f>
        <v/>
      </c>
      <c r="P164" s="12" t="str">
        <f aca="false">IF($M164="","",IF(COUNTIFS('QC listings'!$A$5:$A$200,$M164,'QC listings'!$C$5:$C$200,P$4,'QC listings'!$F$5:$F$200,"Listing page")+COUNTIFS('QC listings'!$A$5:$A$200,$M164,'QC listings'!$C$5:$C$200,P$4,'QC listings'!$F$5:$F$200,"Brand page")&gt;0,"Y",IF(COUNTIFS('QC listings'!$A$5:$A$200,$M164,'QC listings'!$C$5:$C$200,P$4)&gt;0,"?","–")))</f>
        <v/>
      </c>
      <c r="Q164" s="12" t="str">
        <f aca="false">IF($M164="","",IF(COUNTIFS('QC listings'!$A$5:$A$200,$M164,'QC listings'!$C$5:$C$200,Q$4,'QC listings'!$F$5:$F$200,"Listing page")+COUNTIFS('QC listings'!$A$5:$A$200,$M164,'QC listings'!$C$5:$C$200,Q$4,'QC listings'!$F$5:$F$200,"Brand page")&gt;0,"Y",IF(COUNTIFS('QC listings'!$A$5:$A$200,$M164,'QC listings'!$C$5:$C$200,Q$4)&gt;0,"?","–")))</f>
        <v/>
      </c>
      <c r="R164" s="12" t="str">
        <f aca="false">IF($M164="","",IF(COUNTIFS('QC listings'!$A$5:$A$200,$M164,'QC listings'!$C$5:$C$200,R$4,'QC listings'!$F$5:$F$200,"Listing page")+COUNTIFS('QC listings'!$A$5:$A$200,$M164,'QC listings'!$C$5:$C$200,R$4,'QC listings'!$F$5:$F$200,"Brand page")&gt;0,"Y",IF(COUNTIFS('QC listings'!$A$5:$A$200,$M164,'QC listings'!$C$5:$C$200,R$4)&gt;0,"?","–")))</f>
        <v/>
      </c>
      <c r="S164" s="12" t="str">
        <f aca="false">IF($M164="","",COUNTIF(O164:R164,"Y"))</f>
        <v/>
      </c>
      <c r="T164" s="23" t="str">
        <f aca="false">IF($M164="","",SUMPRODUCT(MAX(('QC listings'!$A$5:$A$200=$M164)*'QC listings'!$E$5:$E$200)))</f>
        <v/>
      </c>
      <c r="U164" s="12" t="str">
        <f aca="false">IF($M164="","",IF(T164&gt;=Scoring!$B$11,3,IF(T164&gt;=Scoring!$B$10,2,IF(T164&gt;=Scoring!$B$9,1,0))))</f>
        <v/>
      </c>
      <c r="V164" s="12" t="n">
        <f aca="false">IFERROR(INDEX(Scoring!$B$27:$B$56,MATCH($E164,Scoring!$A$27:$A$56,0)),0)</f>
        <v>0</v>
      </c>
      <c r="W164" s="24" t="n">
        <f aca="false">IF($G164="","",ROUND((Scoring!$B$5-$G164)/30.4375,1))</f>
        <v>21.7</v>
      </c>
      <c r="X164" s="12" t="n">
        <f aca="false">IF($F164="Expired",Scoring!$B$18,IF($G164="",Scoring!$B$17,IF(W164&lt;=Scoring!$B$12,Scoring!$B$13,IF(W164&lt;=Scoring!$B$14,Scoring!$B$15,Scoring!$B$16))))</f>
        <v>1</v>
      </c>
      <c r="Y164" s="15" t="str">
        <f aca="false">IF($M164="","",ROUND((S164*Scoring!$B$6+U164*Scoring!$B$7)*IFERROR(INDEX(Scoring!$B$22:$B$24,MATCH($N164,Scoring!$A$22:$A$24,0)),1)+V164*Scoring!$B$8+X164,2))</f>
        <v/>
      </c>
      <c r="Z164" s="12" t="str">
        <f aca="false">IF($M164="","",IF(SUMPRODUCT(($M$5:$M$249=$M164)*($G$5:$G$249&gt;$G164))&gt;0,0,IF(SUMPRODUCT(($M$5:$M$249=$M164)*($G$5:$G$249=$G164)*(ROW($M$5:$M$249)&lt;ROW($M164)))&gt;0,0,1)))</f>
        <v/>
      </c>
      <c r="AA164" s="12" t="str">
        <f aca="false">IF($Z164=1,RANK($AE164,$AE$5:$AE$249,0),"")</f>
        <v/>
      </c>
      <c r="AB164" s="7" t="s">
        <v>153</v>
      </c>
      <c r="AC164" s="6" t="s">
        <v>154</v>
      </c>
      <c r="AD164" s="6"/>
      <c r="AE164" s="25" t="str">
        <f aca="false">IF($Z164=1,$Y164+$T164/1000000000-ROW()/10000000,"")</f>
        <v/>
      </c>
    </row>
    <row r="165" customFormat="false" ht="23.85" hidden="false" customHeight="false" outlineLevel="0" collapsed="false">
      <c r="A165" s="7" t="s">
        <v>954</v>
      </c>
      <c r="B165" s="6" t="s">
        <v>955</v>
      </c>
      <c r="C165" s="6" t="s">
        <v>956</v>
      </c>
      <c r="D165" s="7" t="s">
        <v>757</v>
      </c>
      <c r="E165" s="7" t="s">
        <v>801</v>
      </c>
      <c r="F165" s="12" t="s">
        <v>158</v>
      </c>
      <c r="G165" s="13" t="n">
        <v>46138</v>
      </c>
      <c r="H165" s="7" t="s">
        <v>957</v>
      </c>
      <c r="I165" s="6" t="s">
        <v>149</v>
      </c>
      <c r="J165" s="7" t="s">
        <v>60</v>
      </c>
      <c r="K165" s="12"/>
      <c r="L165" s="10" t="s">
        <v>958</v>
      </c>
      <c r="M165" s="7"/>
      <c r="N165" s="12"/>
      <c r="O165" s="12" t="str">
        <f aca="false">IF($M165="","",IF(COUNTIFS('QC listings'!$A$5:$A$200,$M165,'QC listings'!$C$5:$C$200,O$4,'QC listings'!$F$5:$F$200,"Listing page")+COUNTIFS('QC listings'!$A$5:$A$200,$M165,'QC listings'!$C$5:$C$200,O$4,'QC listings'!$F$5:$F$200,"Brand page")&gt;0,"Y",IF(COUNTIFS('QC listings'!$A$5:$A$200,$M165,'QC listings'!$C$5:$C$200,O$4)&gt;0,"?","–")))</f>
        <v/>
      </c>
      <c r="P165" s="12" t="str">
        <f aca="false">IF($M165="","",IF(COUNTIFS('QC listings'!$A$5:$A$200,$M165,'QC listings'!$C$5:$C$200,P$4,'QC listings'!$F$5:$F$200,"Listing page")+COUNTIFS('QC listings'!$A$5:$A$200,$M165,'QC listings'!$C$5:$C$200,P$4,'QC listings'!$F$5:$F$200,"Brand page")&gt;0,"Y",IF(COUNTIFS('QC listings'!$A$5:$A$200,$M165,'QC listings'!$C$5:$C$200,P$4)&gt;0,"?","–")))</f>
        <v/>
      </c>
      <c r="Q165" s="12" t="str">
        <f aca="false">IF($M165="","",IF(COUNTIFS('QC listings'!$A$5:$A$200,$M165,'QC listings'!$C$5:$C$200,Q$4,'QC listings'!$F$5:$F$200,"Listing page")+COUNTIFS('QC listings'!$A$5:$A$200,$M165,'QC listings'!$C$5:$C$200,Q$4,'QC listings'!$F$5:$F$200,"Brand page")&gt;0,"Y",IF(COUNTIFS('QC listings'!$A$5:$A$200,$M165,'QC listings'!$C$5:$C$200,Q$4)&gt;0,"?","–")))</f>
        <v/>
      </c>
      <c r="R165" s="12" t="str">
        <f aca="false">IF($M165="","",IF(COUNTIFS('QC listings'!$A$5:$A$200,$M165,'QC listings'!$C$5:$C$200,R$4,'QC listings'!$F$5:$F$200,"Listing page")+COUNTIFS('QC listings'!$A$5:$A$200,$M165,'QC listings'!$C$5:$C$200,R$4,'QC listings'!$F$5:$F$200,"Brand page")&gt;0,"Y",IF(COUNTIFS('QC listings'!$A$5:$A$200,$M165,'QC listings'!$C$5:$C$200,R$4)&gt;0,"?","–")))</f>
        <v/>
      </c>
      <c r="S165" s="12" t="str">
        <f aca="false">IF($M165="","",COUNTIF(O165:R165,"Y"))</f>
        <v/>
      </c>
      <c r="T165" s="23" t="str">
        <f aca="false">IF($M165="","",SUMPRODUCT(MAX(('QC listings'!$A$5:$A$200=$M165)*'QC listings'!$E$5:$E$200)))</f>
        <v/>
      </c>
      <c r="U165" s="12" t="str">
        <f aca="false">IF($M165="","",IF(T165&gt;=Scoring!$B$11,3,IF(T165&gt;=Scoring!$B$10,2,IF(T165&gt;=Scoring!$B$9,1,0))))</f>
        <v/>
      </c>
      <c r="V165" s="12" t="n">
        <f aca="false">IFERROR(INDEX(Scoring!$B$27:$B$56,MATCH($E165,Scoring!$A$27:$A$56,0)),0)</f>
        <v>0</v>
      </c>
      <c r="W165" s="24" t="n">
        <f aca="false">IF($G165="","",ROUND((Scoring!$B$5-$G165)/30.4375,1))</f>
        <v>5.2</v>
      </c>
      <c r="X165" s="12" t="n">
        <f aca="false">IF($F165="Expired",Scoring!$B$18,IF($G165="",Scoring!$B$17,IF(W165&lt;=Scoring!$B$12,Scoring!$B$13,IF(W165&lt;=Scoring!$B$14,Scoring!$B$15,Scoring!$B$16))))</f>
        <v>2</v>
      </c>
      <c r="Y165" s="15" t="str">
        <f aca="false">IF($M165="","",ROUND((S165*Scoring!$B$6+U165*Scoring!$B$7)*IFERROR(INDEX(Scoring!$B$22:$B$24,MATCH($N165,Scoring!$A$22:$A$24,0)),1)+V165*Scoring!$B$8+X165,2))</f>
        <v/>
      </c>
      <c r="Z165" s="12" t="str">
        <f aca="false">IF($M165="","",IF(SUMPRODUCT(($M$5:$M$249=$M165)*($G$5:$G$249&gt;$G165))&gt;0,0,IF(SUMPRODUCT(($M$5:$M$249=$M165)*($G$5:$G$249=$G165)*(ROW($M$5:$M$249)&lt;ROW($M165)))&gt;0,0,1)))</f>
        <v/>
      </c>
      <c r="AA165" s="12" t="str">
        <f aca="false">IF($Z165=1,RANK($AE165,$AE$5:$AE$249,0),"")</f>
        <v/>
      </c>
      <c r="AB165" s="7" t="s">
        <v>153</v>
      </c>
      <c r="AC165" s="6" t="s">
        <v>162</v>
      </c>
      <c r="AD165" s="6"/>
      <c r="AE165" s="25" t="str">
        <f aca="false">IF($Z165=1,$Y165+$T165/1000000000-ROW()/10000000,"")</f>
        <v/>
      </c>
    </row>
    <row r="166" customFormat="false" ht="23.85" hidden="false" customHeight="false" outlineLevel="0" collapsed="false">
      <c r="A166" s="7" t="s">
        <v>959</v>
      </c>
      <c r="B166" s="6" t="s">
        <v>960</v>
      </c>
      <c r="C166" s="6" t="s">
        <v>961</v>
      </c>
      <c r="D166" s="7" t="s">
        <v>757</v>
      </c>
      <c r="E166" s="7" t="s">
        <v>801</v>
      </c>
      <c r="F166" s="12" t="s">
        <v>549</v>
      </c>
      <c r="G166" s="13" t="n">
        <v>45821</v>
      </c>
      <c r="H166" s="7" t="s">
        <v>962</v>
      </c>
      <c r="I166" s="6" t="s">
        <v>149</v>
      </c>
      <c r="J166" s="7" t="s">
        <v>60</v>
      </c>
      <c r="K166" s="12"/>
      <c r="L166" s="10" t="s">
        <v>963</v>
      </c>
      <c r="M166" s="7"/>
      <c r="N166" s="12"/>
      <c r="O166" s="12" t="str">
        <f aca="false">IF($M166="","",IF(COUNTIFS('QC listings'!$A$5:$A$200,$M166,'QC listings'!$C$5:$C$200,O$4,'QC listings'!$F$5:$F$200,"Listing page")+COUNTIFS('QC listings'!$A$5:$A$200,$M166,'QC listings'!$C$5:$C$200,O$4,'QC listings'!$F$5:$F$200,"Brand page")&gt;0,"Y",IF(COUNTIFS('QC listings'!$A$5:$A$200,$M166,'QC listings'!$C$5:$C$200,O$4)&gt;0,"?","–")))</f>
        <v/>
      </c>
      <c r="P166" s="12" t="str">
        <f aca="false">IF($M166="","",IF(COUNTIFS('QC listings'!$A$5:$A$200,$M166,'QC listings'!$C$5:$C$200,P$4,'QC listings'!$F$5:$F$200,"Listing page")+COUNTIFS('QC listings'!$A$5:$A$200,$M166,'QC listings'!$C$5:$C$200,P$4,'QC listings'!$F$5:$F$200,"Brand page")&gt;0,"Y",IF(COUNTIFS('QC listings'!$A$5:$A$200,$M166,'QC listings'!$C$5:$C$200,P$4)&gt;0,"?","–")))</f>
        <v/>
      </c>
      <c r="Q166" s="12" t="str">
        <f aca="false">IF($M166="","",IF(COUNTIFS('QC listings'!$A$5:$A$200,$M166,'QC listings'!$C$5:$C$200,Q$4,'QC listings'!$F$5:$F$200,"Listing page")+COUNTIFS('QC listings'!$A$5:$A$200,$M166,'QC listings'!$C$5:$C$200,Q$4,'QC listings'!$F$5:$F$200,"Brand page")&gt;0,"Y",IF(COUNTIFS('QC listings'!$A$5:$A$200,$M166,'QC listings'!$C$5:$C$200,Q$4)&gt;0,"?","–")))</f>
        <v/>
      </c>
      <c r="R166" s="12" t="str">
        <f aca="false">IF($M166="","",IF(COUNTIFS('QC listings'!$A$5:$A$200,$M166,'QC listings'!$C$5:$C$200,R$4,'QC listings'!$F$5:$F$200,"Listing page")+COUNTIFS('QC listings'!$A$5:$A$200,$M166,'QC listings'!$C$5:$C$200,R$4,'QC listings'!$F$5:$F$200,"Brand page")&gt;0,"Y",IF(COUNTIFS('QC listings'!$A$5:$A$200,$M166,'QC listings'!$C$5:$C$200,R$4)&gt;0,"?","–")))</f>
        <v/>
      </c>
      <c r="S166" s="12" t="str">
        <f aca="false">IF($M166="","",COUNTIF(O166:R166,"Y"))</f>
        <v/>
      </c>
      <c r="T166" s="23" t="str">
        <f aca="false">IF($M166="","",SUMPRODUCT(MAX(('QC listings'!$A$5:$A$200=$M166)*'QC listings'!$E$5:$E$200)))</f>
        <v/>
      </c>
      <c r="U166" s="12" t="str">
        <f aca="false">IF($M166="","",IF(T166&gt;=Scoring!$B$11,3,IF(T166&gt;=Scoring!$B$10,2,IF(T166&gt;=Scoring!$B$9,1,0))))</f>
        <v/>
      </c>
      <c r="V166" s="12" t="n">
        <f aca="false">IFERROR(INDEX(Scoring!$B$27:$B$56,MATCH($E166,Scoring!$A$27:$A$56,0)),0)</f>
        <v>0</v>
      </c>
      <c r="W166" s="24" t="n">
        <f aca="false">IF($G166="","",ROUND((Scoring!$B$5-$G166)/30.4375,1))</f>
        <v>15.6</v>
      </c>
      <c r="X166" s="12" t="n">
        <f aca="false">IF($F166="Expired",Scoring!$B$18,IF($G166="",Scoring!$B$17,IF(W166&lt;=Scoring!$B$12,Scoring!$B$13,IF(W166&lt;=Scoring!$B$14,Scoring!$B$15,Scoring!$B$16))))</f>
        <v>0</v>
      </c>
      <c r="Y166" s="15" t="str">
        <f aca="false">IF($M166="","",ROUND((S166*Scoring!$B$6+U166*Scoring!$B$7)*IFERROR(INDEX(Scoring!$B$22:$B$24,MATCH($N166,Scoring!$A$22:$A$24,0)),1)+V166*Scoring!$B$8+X166,2))</f>
        <v/>
      </c>
      <c r="Z166" s="12" t="str">
        <f aca="false">IF($M166="","",IF(SUMPRODUCT(($M$5:$M$249=$M166)*($G$5:$G$249&gt;$G166))&gt;0,0,IF(SUMPRODUCT(($M$5:$M$249=$M166)*($G$5:$G$249=$G166)*(ROW($M$5:$M$249)&lt;ROW($M166)))&gt;0,0,1)))</f>
        <v/>
      </c>
      <c r="AA166" s="12" t="str">
        <f aca="false">IF($Z166=1,RANK($AE166,$AE$5:$AE$249,0),"")</f>
        <v/>
      </c>
      <c r="AB166" s="7" t="s">
        <v>153</v>
      </c>
      <c r="AC166" s="6" t="s">
        <v>642</v>
      </c>
      <c r="AD166" s="6"/>
      <c r="AE166" s="25" t="str">
        <f aca="false">IF($Z166=1,$Y166+$T166/1000000000-ROW()/10000000,"")</f>
        <v/>
      </c>
    </row>
    <row r="167" customFormat="false" ht="23.85" hidden="false" customHeight="false" outlineLevel="0" collapsed="false">
      <c r="A167" s="7" t="s">
        <v>964</v>
      </c>
      <c r="B167" s="6" t="s">
        <v>965</v>
      </c>
      <c r="C167" s="6" t="s">
        <v>966</v>
      </c>
      <c r="D167" s="7" t="s">
        <v>757</v>
      </c>
      <c r="E167" s="7" t="s">
        <v>801</v>
      </c>
      <c r="F167" s="12" t="s">
        <v>549</v>
      </c>
      <c r="G167" s="13" t="n">
        <v>45428</v>
      </c>
      <c r="H167" s="7" t="s">
        <v>967</v>
      </c>
      <c r="I167" s="6" t="s">
        <v>149</v>
      </c>
      <c r="J167" s="7" t="s">
        <v>60</v>
      </c>
      <c r="K167" s="12"/>
      <c r="L167" s="10" t="s">
        <v>968</v>
      </c>
      <c r="M167" s="7"/>
      <c r="N167" s="12"/>
      <c r="O167" s="12" t="str">
        <f aca="false">IF($M167="","",IF(COUNTIFS('QC listings'!$A$5:$A$200,$M167,'QC listings'!$C$5:$C$200,O$4,'QC listings'!$F$5:$F$200,"Listing page")+COUNTIFS('QC listings'!$A$5:$A$200,$M167,'QC listings'!$C$5:$C$200,O$4,'QC listings'!$F$5:$F$200,"Brand page")&gt;0,"Y",IF(COUNTIFS('QC listings'!$A$5:$A$200,$M167,'QC listings'!$C$5:$C$200,O$4)&gt;0,"?","–")))</f>
        <v/>
      </c>
      <c r="P167" s="12" t="str">
        <f aca="false">IF($M167="","",IF(COUNTIFS('QC listings'!$A$5:$A$200,$M167,'QC listings'!$C$5:$C$200,P$4,'QC listings'!$F$5:$F$200,"Listing page")+COUNTIFS('QC listings'!$A$5:$A$200,$M167,'QC listings'!$C$5:$C$200,P$4,'QC listings'!$F$5:$F$200,"Brand page")&gt;0,"Y",IF(COUNTIFS('QC listings'!$A$5:$A$200,$M167,'QC listings'!$C$5:$C$200,P$4)&gt;0,"?","–")))</f>
        <v/>
      </c>
      <c r="Q167" s="12" t="str">
        <f aca="false">IF($M167="","",IF(COUNTIFS('QC listings'!$A$5:$A$200,$M167,'QC listings'!$C$5:$C$200,Q$4,'QC listings'!$F$5:$F$200,"Listing page")+COUNTIFS('QC listings'!$A$5:$A$200,$M167,'QC listings'!$C$5:$C$200,Q$4,'QC listings'!$F$5:$F$200,"Brand page")&gt;0,"Y",IF(COUNTIFS('QC listings'!$A$5:$A$200,$M167,'QC listings'!$C$5:$C$200,Q$4)&gt;0,"?","–")))</f>
        <v/>
      </c>
      <c r="R167" s="12" t="str">
        <f aca="false">IF($M167="","",IF(COUNTIFS('QC listings'!$A$5:$A$200,$M167,'QC listings'!$C$5:$C$200,R$4,'QC listings'!$F$5:$F$200,"Listing page")+COUNTIFS('QC listings'!$A$5:$A$200,$M167,'QC listings'!$C$5:$C$200,R$4,'QC listings'!$F$5:$F$200,"Brand page")&gt;0,"Y",IF(COUNTIFS('QC listings'!$A$5:$A$200,$M167,'QC listings'!$C$5:$C$200,R$4)&gt;0,"?","–")))</f>
        <v/>
      </c>
      <c r="S167" s="12" t="str">
        <f aca="false">IF($M167="","",COUNTIF(O167:R167,"Y"))</f>
        <v/>
      </c>
      <c r="T167" s="23" t="str">
        <f aca="false">IF($M167="","",SUMPRODUCT(MAX(('QC listings'!$A$5:$A$200=$M167)*'QC listings'!$E$5:$E$200)))</f>
        <v/>
      </c>
      <c r="U167" s="12" t="str">
        <f aca="false">IF($M167="","",IF(T167&gt;=Scoring!$B$11,3,IF(T167&gt;=Scoring!$B$10,2,IF(T167&gt;=Scoring!$B$9,1,0))))</f>
        <v/>
      </c>
      <c r="V167" s="12" t="n">
        <f aca="false">IFERROR(INDEX(Scoring!$B$27:$B$56,MATCH($E167,Scoring!$A$27:$A$56,0)),0)</f>
        <v>0</v>
      </c>
      <c r="W167" s="24" t="n">
        <f aca="false">IF($G167="","",ROUND((Scoring!$B$5-$G167)/30.4375,1))</f>
        <v>28.6</v>
      </c>
      <c r="X167" s="12" t="n">
        <f aca="false">IF($F167="Expired",Scoring!$B$18,IF($G167="",Scoring!$B$17,IF(W167&lt;=Scoring!$B$12,Scoring!$B$13,IF(W167&lt;=Scoring!$B$14,Scoring!$B$15,Scoring!$B$16))))</f>
        <v>0</v>
      </c>
      <c r="Y167" s="15" t="str">
        <f aca="false">IF($M167="","",ROUND((S167*Scoring!$B$6+U167*Scoring!$B$7)*IFERROR(INDEX(Scoring!$B$22:$B$24,MATCH($N167,Scoring!$A$22:$A$24,0)),1)+V167*Scoring!$B$8+X167,2))</f>
        <v/>
      </c>
      <c r="Z167" s="12" t="str">
        <f aca="false">IF($M167="","",IF(SUMPRODUCT(($M$5:$M$249=$M167)*($G$5:$G$249&gt;$G167))&gt;0,0,IF(SUMPRODUCT(($M$5:$M$249=$M167)*($G$5:$G$249=$G167)*(ROW($M$5:$M$249)&lt;ROW($M167)))&gt;0,0,1)))</f>
        <v/>
      </c>
      <c r="AA167" s="12" t="str">
        <f aca="false">IF($Z167=1,RANK($AE167,$AE$5:$AE$249,0),"")</f>
        <v/>
      </c>
      <c r="AB167" s="7" t="s">
        <v>153</v>
      </c>
      <c r="AC167" s="6" t="s">
        <v>642</v>
      </c>
      <c r="AD167" s="6"/>
      <c r="AE167" s="25" t="str">
        <f aca="false">IF($Z167=1,$Y167+$T167/1000000000-ROW()/10000000,"")</f>
        <v/>
      </c>
    </row>
    <row r="168" customFormat="false" ht="23.85" hidden="false" customHeight="false" outlineLevel="0" collapsed="false">
      <c r="A168" s="7" t="s">
        <v>969</v>
      </c>
      <c r="B168" s="6" t="s">
        <v>965</v>
      </c>
      <c r="C168" s="6" t="s">
        <v>970</v>
      </c>
      <c r="D168" s="7" t="s">
        <v>757</v>
      </c>
      <c r="E168" s="7" t="s">
        <v>801</v>
      </c>
      <c r="F168" s="12" t="s">
        <v>549</v>
      </c>
      <c r="G168" s="13" t="n">
        <v>45329</v>
      </c>
      <c r="H168" s="7" t="s">
        <v>971</v>
      </c>
      <c r="I168" s="6" t="s">
        <v>149</v>
      </c>
      <c r="J168" s="7" t="s">
        <v>60</v>
      </c>
      <c r="K168" s="12"/>
      <c r="L168" s="10" t="s">
        <v>972</v>
      </c>
      <c r="M168" s="7"/>
      <c r="N168" s="12"/>
      <c r="O168" s="12" t="str">
        <f aca="false">IF($M168="","",IF(COUNTIFS('QC listings'!$A$5:$A$200,$M168,'QC listings'!$C$5:$C$200,O$4,'QC listings'!$F$5:$F$200,"Listing page")+COUNTIFS('QC listings'!$A$5:$A$200,$M168,'QC listings'!$C$5:$C$200,O$4,'QC listings'!$F$5:$F$200,"Brand page")&gt;0,"Y",IF(COUNTIFS('QC listings'!$A$5:$A$200,$M168,'QC listings'!$C$5:$C$200,O$4)&gt;0,"?","–")))</f>
        <v/>
      </c>
      <c r="P168" s="12" t="str">
        <f aca="false">IF($M168="","",IF(COUNTIFS('QC listings'!$A$5:$A$200,$M168,'QC listings'!$C$5:$C$200,P$4,'QC listings'!$F$5:$F$200,"Listing page")+COUNTIFS('QC listings'!$A$5:$A$200,$M168,'QC listings'!$C$5:$C$200,P$4,'QC listings'!$F$5:$F$200,"Brand page")&gt;0,"Y",IF(COUNTIFS('QC listings'!$A$5:$A$200,$M168,'QC listings'!$C$5:$C$200,P$4)&gt;0,"?","–")))</f>
        <v/>
      </c>
      <c r="Q168" s="12" t="str">
        <f aca="false">IF($M168="","",IF(COUNTIFS('QC listings'!$A$5:$A$200,$M168,'QC listings'!$C$5:$C$200,Q$4,'QC listings'!$F$5:$F$200,"Listing page")+COUNTIFS('QC listings'!$A$5:$A$200,$M168,'QC listings'!$C$5:$C$200,Q$4,'QC listings'!$F$5:$F$200,"Brand page")&gt;0,"Y",IF(COUNTIFS('QC listings'!$A$5:$A$200,$M168,'QC listings'!$C$5:$C$200,Q$4)&gt;0,"?","–")))</f>
        <v/>
      </c>
      <c r="R168" s="12" t="str">
        <f aca="false">IF($M168="","",IF(COUNTIFS('QC listings'!$A$5:$A$200,$M168,'QC listings'!$C$5:$C$200,R$4,'QC listings'!$F$5:$F$200,"Listing page")+COUNTIFS('QC listings'!$A$5:$A$200,$M168,'QC listings'!$C$5:$C$200,R$4,'QC listings'!$F$5:$F$200,"Brand page")&gt;0,"Y",IF(COUNTIFS('QC listings'!$A$5:$A$200,$M168,'QC listings'!$C$5:$C$200,R$4)&gt;0,"?","–")))</f>
        <v/>
      </c>
      <c r="S168" s="12" t="str">
        <f aca="false">IF($M168="","",COUNTIF(O168:R168,"Y"))</f>
        <v/>
      </c>
      <c r="T168" s="23" t="str">
        <f aca="false">IF($M168="","",SUMPRODUCT(MAX(('QC listings'!$A$5:$A$200=$M168)*'QC listings'!$E$5:$E$200)))</f>
        <v/>
      </c>
      <c r="U168" s="12" t="str">
        <f aca="false">IF($M168="","",IF(T168&gt;=Scoring!$B$11,3,IF(T168&gt;=Scoring!$B$10,2,IF(T168&gt;=Scoring!$B$9,1,0))))</f>
        <v/>
      </c>
      <c r="V168" s="12" t="n">
        <f aca="false">IFERROR(INDEX(Scoring!$B$27:$B$56,MATCH($E168,Scoring!$A$27:$A$56,0)),0)</f>
        <v>0</v>
      </c>
      <c r="W168" s="24" t="n">
        <f aca="false">IF($G168="","",ROUND((Scoring!$B$5-$G168)/30.4375,1))</f>
        <v>31.8</v>
      </c>
      <c r="X168" s="12" t="n">
        <f aca="false">IF($F168="Expired",Scoring!$B$18,IF($G168="",Scoring!$B$17,IF(W168&lt;=Scoring!$B$12,Scoring!$B$13,IF(W168&lt;=Scoring!$B$14,Scoring!$B$15,Scoring!$B$16))))</f>
        <v>0</v>
      </c>
      <c r="Y168" s="15" t="str">
        <f aca="false">IF($M168="","",ROUND((S168*Scoring!$B$6+U168*Scoring!$B$7)*IFERROR(INDEX(Scoring!$B$22:$B$24,MATCH($N168,Scoring!$A$22:$A$24,0)),1)+V168*Scoring!$B$8+X168,2))</f>
        <v/>
      </c>
      <c r="Z168" s="12" t="str">
        <f aca="false">IF($M168="","",IF(SUMPRODUCT(($M$5:$M$249=$M168)*($G$5:$G$249&gt;$G168))&gt;0,0,IF(SUMPRODUCT(($M$5:$M$249=$M168)*($G$5:$G$249=$G168)*(ROW($M$5:$M$249)&lt;ROW($M168)))&gt;0,0,1)))</f>
        <v/>
      </c>
      <c r="AA168" s="12" t="str">
        <f aca="false">IF($Z168=1,RANK($AE168,$AE$5:$AE$249,0),"")</f>
        <v/>
      </c>
      <c r="AB168" s="7" t="s">
        <v>153</v>
      </c>
      <c r="AC168" s="6" t="s">
        <v>642</v>
      </c>
      <c r="AD168" s="6"/>
      <c r="AE168" s="25" t="str">
        <f aca="false">IF($Z168=1,$Y168+$T168/1000000000-ROW()/10000000,"")</f>
        <v/>
      </c>
    </row>
    <row r="169" customFormat="false" ht="23.85" hidden="false" customHeight="false" outlineLevel="0" collapsed="false">
      <c r="A169" s="7" t="s">
        <v>973</v>
      </c>
      <c r="B169" s="6" t="s">
        <v>974</v>
      </c>
      <c r="C169" s="6" t="s">
        <v>975</v>
      </c>
      <c r="D169" s="7" t="s">
        <v>757</v>
      </c>
      <c r="E169" s="7" t="s">
        <v>801</v>
      </c>
      <c r="F169" s="12" t="s">
        <v>158</v>
      </c>
      <c r="G169" s="13" t="n">
        <v>46102</v>
      </c>
      <c r="H169" s="7" t="s">
        <v>976</v>
      </c>
      <c r="I169" s="6" t="s">
        <v>149</v>
      </c>
      <c r="J169" s="7" t="s">
        <v>60</v>
      </c>
      <c r="K169" s="12"/>
      <c r="L169" s="10" t="s">
        <v>977</v>
      </c>
      <c r="M169" s="7"/>
      <c r="N169" s="12"/>
      <c r="O169" s="12" t="str">
        <f aca="false">IF($M169="","",IF(COUNTIFS('QC listings'!$A$5:$A$200,$M169,'QC listings'!$C$5:$C$200,O$4,'QC listings'!$F$5:$F$200,"Listing page")+COUNTIFS('QC listings'!$A$5:$A$200,$M169,'QC listings'!$C$5:$C$200,O$4,'QC listings'!$F$5:$F$200,"Brand page")&gt;0,"Y",IF(COUNTIFS('QC listings'!$A$5:$A$200,$M169,'QC listings'!$C$5:$C$200,O$4)&gt;0,"?","–")))</f>
        <v/>
      </c>
      <c r="P169" s="12" t="str">
        <f aca="false">IF($M169="","",IF(COUNTIFS('QC listings'!$A$5:$A$200,$M169,'QC listings'!$C$5:$C$200,P$4,'QC listings'!$F$5:$F$200,"Listing page")+COUNTIFS('QC listings'!$A$5:$A$200,$M169,'QC listings'!$C$5:$C$200,P$4,'QC listings'!$F$5:$F$200,"Brand page")&gt;0,"Y",IF(COUNTIFS('QC listings'!$A$5:$A$200,$M169,'QC listings'!$C$5:$C$200,P$4)&gt;0,"?","–")))</f>
        <v/>
      </c>
      <c r="Q169" s="12" t="str">
        <f aca="false">IF($M169="","",IF(COUNTIFS('QC listings'!$A$5:$A$200,$M169,'QC listings'!$C$5:$C$200,Q$4,'QC listings'!$F$5:$F$200,"Listing page")+COUNTIFS('QC listings'!$A$5:$A$200,$M169,'QC listings'!$C$5:$C$200,Q$4,'QC listings'!$F$5:$F$200,"Brand page")&gt;0,"Y",IF(COUNTIFS('QC listings'!$A$5:$A$200,$M169,'QC listings'!$C$5:$C$200,Q$4)&gt;0,"?","–")))</f>
        <v/>
      </c>
      <c r="R169" s="12" t="str">
        <f aca="false">IF($M169="","",IF(COUNTIFS('QC listings'!$A$5:$A$200,$M169,'QC listings'!$C$5:$C$200,R$4,'QC listings'!$F$5:$F$200,"Listing page")+COUNTIFS('QC listings'!$A$5:$A$200,$M169,'QC listings'!$C$5:$C$200,R$4,'QC listings'!$F$5:$F$200,"Brand page")&gt;0,"Y",IF(COUNTIFS('QC listings'!$A$5:$A$200,$M169,'QC listings'!$C$5:$C$200,R$4)&gt;0,"?","–")))</f>
        <v/>
      </c>
      <c r="S169" s="12" t="str">
        <f aca="false">IF($M169="","",COUNTIF(O169:R169,"Y"))</f>
        <v/>
      </c>
      <c r="T169" s="23" t="str">
        <f aca="false">IF($M169="","",SUMPRODUCT(MAX(('QC listings'!$A$5:$A$200=$M169)*'QC listings'!$E$5:$E$200)))</f>
        <v/>
      </c>
      <c r="U169" s="12" t="str">
        <f aca="false">IF($M169="","",IF(T169&gt;=Scoring!$B$11,3,IF(T169&gt;=Scoring!$B$10,2,IF(T169&gt;=Scoring!$B$9,1,0))))</f>
        <v/>
      </c>
      <c r="V169" s="12" t="n">
        <f aca="false">IFERROR(INDEX(Scoring!$B$27:$B$56,MATCH($E169,Scoring!$A$27:$A$56,0)),0)</f>
        <v>0</v>
      </c>
      <c r="W169" s="24" t="n">
        <f aca="false">IF($G169="","",ROUND((Scoring!$B$5-$G169)/30.4375,1))</f>
        <v>6.4</v>
      </c>
      <c r="X169" s="12" t="n">
        <f aca="false">IF($F169="Expired",Scoring!$B$18,IF($G169="",Scoring!$B$17,IF(W169&lt;=Scoring!$B$12,Scoring!$B$13,IF(W169&lt;=Scoring!$B$14,Scoring!$B$15,Scoring!$B$16))))</f>
        <v>2</v>
      </c>
      <c r="Y169" s="15" t="str">
        <f aca="false">IF($M169="","",ROUND((S169*Scoring!$B$6+U169*Scoring!$B$7)*IFERROR(INDEX(Scoring!$B$22:$B$24,MATCH($N169,Scoring!$A$22:$A$24,0)),1)+V169*Scoring!$B$8+X169,2))</f>
        <v/>
      </c>
      <c r="Z169" s="12" t="str">
        <f aca="false">IF($M169="","",IF(SUMPRODUCT(($M$5:$M$249=$M169)*($G$5:$G$249&gt;$G169))&gt;0,0,IF(SUMPRODUCT(($M$5:$M$249=$M169)*($G$5:$G$249=$G169)*(ROW($M$5:$M$249)&lt;ROW($M169)))&gt;0,0,1)))</f>
        <v/>
      </c>
      <c r="AA169" s="12" t="str">
        <f aca="false">IF($Z169=1,RANK($AE169,$AE$5:$AE$249,0),"")</f>
        <v/>
      </c>
      <c r="AB169" s="7" t="s">
        <v>153</v>
      </c>
      <c r="AC169" s="6" t="s">
        <v>162</v>
      </c>
      <c r="AD169" s="6"/>
      <c r="AE169" s="25" t="str">
        <f aca="false">IF($Z169=1,$Y169+$T169/1000000000-ROW()/10000000,"")</f>
        <v/>
      </c>
    </row>
    <row r="170" customFormat="false" ht="23.85" hidden="false" customHeight="false" outlineLevel="0" collapsed="false">
      <c r="A170" s="7" t="s">
        <v>978</v>
      </c>
      <c r="B170" s="6" t="s">
        <v>979</v>
      </c>
      <c r="C170" s="6" t="s">
        <v>980</v>
      </c>
      <c r="D170" s="7" t="s">
        <v>757</v>
      </c>
      <c r="E170" s="7" t="s">
        <v>801</v>
      </c>
      <c r="F170" s="12" t="s">
        <v>158</v>
      </c>
      <c r="G170" s="13" t="n">
        <v>45923</v>
      </c>
      <c r="H170" s="7" t="s">
        <v>981</v>
      </c>
      <c r="I170" s="6" t="s">
        <v>149</v>
      </c>
      <c r="J170" s="7" t="s">
        <v>60</v>
      </c>
      <c r="K170" s="12"/>
      <c r="L170" s="10" t="s">
        <v>982</v>
      </c>
      <c r="M170" s="7"/>
      <c r="N170" s="12"/>
      <c r="O170" s="12" t="str">
        <f aca="false">IF($M170="","",IF(COUNTIFS('QC listings'!$A$5:$A$200,$M170,'QC listings'!$C$5:$C$200,O$4,'QC listings'!$F$5:$F$200,"Listing page")+COUNTIFS('QC listings'!$A$5:$A$200,$M170,'QC listings'!$C$5:$C$200,O$4,'QC listings'!$F$5:$F$200,"Brand page")&gt;0,"Y",IF(COUNTIFS('QC listings'!$A$5:$A$200,$M170,'QC listings'!$C$5:$C$200,O$4)&gt;0,"?","–")))</f>
        <v/>
      </c>
      <c r="P170" s="12" t="str">
        <f aca="false">IF($M170="","",IF(COUNTIFS('QC listings'!$A$5:$A$200,$M170,'QC listings'!$C$5:$C$200,P$4,'QC listings'!$F$5:$F$200,"Listing page")+COUNTIFS('QC listings'!$A$5:$A$200,$M170,'QC listings'!$C$5:$C$200,P$4,'QC listings'!$F$5:$F$200,"Brand page")&gt;0,"Y",IF(COUNTIFS('QC listings'!$A$5:$A$200,$M170,'QC listings'!$C$5:$C$200,P$4)&gt;0,"?","–")))</f>
        <v/>
      </c>
      <c r="Q170" s="12" t="str">
        <f aca="false">IF($M170="","",IF(COUNTIFS('QC listings'!$A$5:$A$200,$M170,'QC listings'!$C$5:$C$200,Q$4,'QC listings'!$F$5:$F$200,"Listing page")+COUNTIFS('QC listings'!$A$5:$A$200,$M170,'QC listings'!$C$5:$C$200,Q$4,'QC listings'!$F$5:$F$200,"Brand page")&gt;0,"Y",IF(COUNTIFS('QC listings'!$A$5:$A$200,$M170,'QC listings'!$C$5:$C$200,Q$4)&gt;0,"?","–")))</f>
        <v/>
      </c>
      <c r="R170" s="12" t="str">
        <f aca="false">IF($M170="","",IF(COUNTIFS('QC listings'!$A$5:$A$200,$M170,'QC listings'!$C$5:$C$200,R$4,'QC listings'!$F$5:$F$200,"Listing page")+COUNTIFS('QC listings'!$A$5:$A$200,$M170,'QC listings'!$C$5:$C$200,R$4,'QC listings'!$F$5:$F$200,"Brand page")&gt;0,"Y",IF(COUNTIFS('QC listings'!$A$5:$A$200,$M170,'QC listings'!$C$5:$C$200,R$4)&gt;0,"?","–")))</f>
        <v/>
      </c>
      <c r="S170" s="12" t="str">
        <f aca="false">IF($M170="","",COUNTIF(O170:R170,"Y"))</f>
        <v/>
      </c>
      <c r="T170" s="23" t="str">
        <f aca="false">IF($M170="","",SUMPRODUCT(MAX(('QC listings'!$A$5:$A$200=$M170)*'QC listings'!$E$5:$E$200)))</f>
        <v/>
      </c>
      <c r="U170" s="12" t="str">
        <f aca="false">IF($M170="","",IF(T170&gt;=Scoring!$B$11,3,IF(T170&gt;=Scoring!$B$10,2,IF(T170&gt;=Scoring!$B$9,1,0))))</f>
        <v/>
      </c>
      <c r="V170" s="12" t="n">
        <f aca="false">IFERROR(INDEX(Scoring!$B$27:$B$56,MATCH($E170,Scoring!$A$27:$A$56,0)),0)</f>
        <v>0</v>
      </c>
      <c r="W170" s="24" t="n">
        <f aca="false">IF($G170="","",ROUND((Scoring!$B$5-$G170)/30.4375,1))</f>
        <v>12.3</v>
      </c>
      <c r="X170" s="12" t="n">
        <f aca="false">IF($F170="Expired",Scoring!$B$18,IF($G170="",Scoring!$B$17,IF(W170&lt;=Scoring!$B$12,Scoring!$B$13,IF(W170&lt;=Scoring!$B$14,Scoring!$B$15,Scoring!$B$16))))</f>
        <v>1</v>
      </c>
      <c r="Y170" s="15" t="str">
        <f aca="false">IF($M170="","",ROUND((S170*Scoring!$B$6+U170*Scoring!$B$7)*IFERROR(INDEX(Scoring!$B$22:$B$24,MATCH($N170,Scoring!$A$22:$A$24,0)),1)+V170*Scoring!$B$8+X170,2))</f>
        <v/>
      </c>
      <c r="Z170" s="12" t="str">
        <f aca="false">IF($M170="","",IF(SUMPRODUCT(($M$5:$M$249=$M170)*($G$5:$G$249&gt;$G170))&gt;0,0,IF(SUMPRODUCT(($M$5:$M$249=$M170)*($G$5:$G$249=$G170)*(ROW($M$5:$M$249)&lt;ROW($M170)))&gt;0,0,1)))</f>
        <v/>
      </c>
      <c r="AA170" s="12" t="str">
        <f aca="false">IF($Z170=1,RANK($AE170,$AE$5:$AE$249,0),"")</f>
        <v/>
      </c>
      <c r="AB170" s="7" t="s">
        <v>153</v>
      </c>
      <c r="AC170" s="6" t="s">
        <v>162</v>
      </c>
      <c r="AD170" s="6"/>
      <c r="AE170" s="25" t="str">
        <f aca="false">IF($Z170=1,$Y170+$T170/1000000000-ROW()/10000000,"")</f>
        <v/>
      </c>
    </row>
    <row r="171" customFormat="false" ht="23.85" hidden="false" customHeight="false" outlineLevel="0" collapsed="false">
      <c r="A171" s="7" t="s">
        <v>983</v>
      </c>
      <c r="B171" s="6" t="s">
        <v>509</v>
      </c>
      <c r="C171" s="6" t="s">
        <v>984</v>
      </c>
      <c r="D171" s="7" t="s">
        <v>757</v>
      </c>
      <c r="E171" s="7" t="s">
        <v>801</v>
      </c>
      <c r="F171" s="12" t="s">
        <v>158</v>
      </c>
      <c r="G171" s="13" t="n">
        <v>45438</v>
      </c>
      <c r="H171" s="7" t="s">
        <v>985</v>
      </c>
      <c r="I171" s="6" t="s">
        <v>149</v>
      </c>
      <c r="J171" s="7" t="s">
        <v>60</v>
      </c>
      <c r="K171" s="12"/>
      <c r="L171" s="10" t="s">
        <v>986</v>
      </c>
      <c r="M171" s="7"/>
      <c r="N171" s="12"/>
      <c r="O171" s="12" t="str">
        <f aca="false">IF($M171="","",IF(COUNTIFS('QC listings'!$A$5:$A$200,$M171,'QC listings'!$C$5:$C$200,O$4,'QC listings'!$F$5:$F$200,"Listing page")+COUNTIFS('QC listings'!$A$5:$A$200,$M171,'QC listings'!$C$5:$C$200,O$4,'QC listings'!$F$5:$F$200,"Brand page")&gt;0,"Y",IF(COUNTIFS('QC listings'!$A$5:$A$200,$M171,'QC listings'!$C$5:$C$200,O$4)&gt;0,"?","–")))</f>
        <v/>
      </c>
      <c r="P171" s="12" t="str">
        <f aca="false">IF($M171="","",IF(COUNTIFS('QC listings'!$A$5:$A$200,$M171,'QC listings'!$C$5:$C$200,P$4,'QC listings'!$F$5:$F$200,"Listing page")+COUNTIFS('QC listings'!$A$5:$A$200,$M171,'QC listings'!$C$5:$C$200,P$4,'QC listings'!$F$5:$F$200,"Brand page")&gt;0,"Y",IF(COUNTIFS('QC listings'!$A$5:$A$200,$M171,'QC listings'!$C$5:$C$200,P$4)&gt;0,"?","–")))</f>
        <v/>
      </c>
      <c r="Q171" s="12" t="str">
        <f aca="false">IF($M171="","",IF(COUNTIFS('QC listings'!$A$5:$A$200,$M171,'QC listings'!$C$5:$C$200,Q$4,'QC listings'!$F$5:$F$200,"Listing page")+COUNTIFS('QC listings'!$A$5:$A$200,$M171,'QC listings'!$C$5:$C$200,Q$4,'QC listings'!$F$5:$F$200,"Brand page")&gt;0,"Y",IF(COUNTIFS('QC listings'!$A$5:$A$200,$M171,'QC listings'!$C$5:$C$200,Q$4)&gt;0,"?","–")))</f>
        <v/>
      </c>
      <c r="R171" s="12" t="str">
        <f aca="false">IF($M171="","",IF(COUNTIFS('QC listings'!$A$5:$A$200,$M171,'QC listings'!$C$5:$C$200,R$4,'QC listings'!$F$5:$F$200,"Listing page")+COUNTIFS('QC listings'!$A$5:$A$200,$M171,'QC listings'!$C$5:$C$200,R$4,'QC listings'!$F$5:$F$200,"Brand page")&gt;0,"Y",IF(COUNTIFS('QC listings'!$A$5:$A$200,$M171,'QC listings'!$C$5:$C$200,R$4)&gt;0,"?","–")))</f>
        <v/>
      </c>
      <c r="S171" s="12" t="str">
        <f aca="false">IF($M171="","",COUNTIF(O171:R171,"Y"))</f>
        <v/>
      </c>
      <c r="T171" s="23" t="str">
        <f aca="false">IF($M171="","",SUMPRODUCT(MAX(('QC listings'!$A$5:$A$200=$M171)*'QC listings'!$E$5:$E$200)))</f>
        <v/>
      </c>
      <c r="U171" s="12" t="str">
        <f aca="false">IF($M171="","",IF(T171&gt;=Scoring!$B$11,3,IF(T171&gt;=Scoring!$B$10,2,IF(T171&gt;=Scoring!$B$9,1,0))))</f>
        <v/>
      </c>
      <c r="V171" s="12" t="n">
        <f aca="false">IFERROR(INDEX(Scoring!$B$27:$B$56,MATCH($E171,Scoring!$A$27:$A$56,0)),0)</f>
        <v>0</v>
      </c>
      <c r="W171" s="24" t="n">
        <f aca="false">IF($G171="","",ROUND((Scoring!$B$5-$G171)/30.4375,1))</f>
        <v>28.2</v>
      </c>
      <c r="X171" s="12" t="n">
        <f aca="false">IF($F171="Expired",Scoring!$B$18,IF($G171="",Scoring!$B$17,IF(W171&lt;=Scoring!$B$12,Scoring!$B$13,IF(W171&lt;=Scoring!$B$14,Scoring!$B$15,Scoring!$B$16))))</f>
        <v>0</v>
      </c>
      <c r="Y171" s="15" t="str">
        <f aca="false">IF($M171="","",ROUND((S171*Scoring!$B$6+U171*Scoring!$B$7)*IFERROR(INDEX(Scoring!$B$22:$B$24,MATCH($N171,Scoring!$A$22:$A$24,0)),1)+V171*Scoring!$B$8+X171,2))</f>
        <v/>
      </c>
      <c r="Z171" s="12" t="str">
        <f aca="false">IF($M171="","",IF(SUMPRODUCT(($M$5:$M$249=$M171)*($G$5:$G$249&gt;$G171))&gt;0,0,IF(SUMPRODUCT(($M$5:$M$249=$M171)*($G$5:$G$249=$G171)*(ROW($M$5:$M$249)&lt;ROW($M171)))&gt;0,0,1)))</f>
        <v/>
      </c>
      <c r="AA171" s="12" t="str">
        <f aca="false">IF($Z171=1,RANK($AE171,$AE$5:$AE$249,0),"")</f>
        <v/>
      </c>
      <c r="AB171" s="7" t="s">
        <v>153</v>
      </c>
      <c r="AC171" s="6" t="s">
        <v>162</v>
      </c>
      <c r="AD171" s="6"/>
      <c r="AE171" s="25" t="str">
        <f aca="false">IF($Z171=1,$Y171+$T171/1000000000-ROW()/10000000,"")</f>
        <v/>
      </c>
    </row>
    <row r="172" customFormat="false" ht="23.85" hidden="false" customHeight="false" outlineLevel="0" collapsed="false">
      <c r="A172" s="7" t="s">
        <v>987</v>
      </c>
      <c r="B172" s="6" t="s">
        <v>509</v>
      </c>
      <c r="C172" s="6" t="s">
        <v>988</v>
      </c>
      <c r="D172" s="7" t="s">
        <v>757</v>
      </c>
      <c r="E172" s="7" t="s">
        <v>801</v>
      </c>
      <c r="F172" s="12" t="s">
        <v>158</v>
      </c>
      <c r="G172" s="13" t="n">
        <v>45460</v>
      </c>
      <c r="H172" s="7" t="s">
        <v>989</v>
      </c>
      <c r="I172" s="6" t="s">
        <v>149</v>
      </c>
      <c r="J172" s="7" t="s">
        <v>60</v>
      </c>
      <c r="K172" s="12"/>
      <c r="L172" s="10" t="s">
        <v>990</v>
      </c>
      <c r="M172" s="7" t="s">
        <v>991</v>
      </c>
      <c r="N172" s="12" t="s">
        <v>277</v>
      </c>
      <c r="O172" s="12" t="str">
        <f aca="false">IF($M172="","",IF(COUNTIFS('QC listings'!$A$5:$A$200,$M172,'QC listings'!$C$5:$C$200,O$4,'QC listings'!$F$5:$F$200,"Listing page")+COUNTIFS('QC listings'!$A$5:$A$200,$M172,'QC listings'!$C$5:$C$200,O$4,'QC listings'!$F$5:$F$200,"Brand page")&gt;0,"Y",IF(COUNTIFS('QC listings'!$A$5:$A$200,$M172,'QC listings'!$C$5:$C$200,O$4)&gt;0,"?","–")))</f>
        <v>–</v>
      </c>
      <c r="P172" s="12" t="str">
        <f aca="false">IF($M172="","",IF(COUNTIFS('QC listings'!$A$5:$A$200,$M172,'QC listings'!$C$5:$C$200,P$4,'QC listings'!$F$5:$F$200,"Listing page")+COUNTIFS('QC listings'!$A$5:$A$200,$M172,'QC listings'!$C$5:$C$200,P$4,'QC listings'!$F$5:$F$200,"Brand page")&gt;0,"Y",IF(COUNTIFS('QC listings'!$A$5:$A$200,$M172,'QC listings'!$C$5:$C$200,P$4)&gt;0,"?","–")))</f>
        <v>Y</v>
      </c>
      <c r="Q172" s="12" t="str">
        <f aca="false">IF($M172="","",IF(COUNTIFS('QC listings'!$A$5:$A$200,$M172,'QC listings'!$C$5:$C$200,Q$4,'QC listings'!$F$5:$F$200,"Listing page")+COUNTIFS('QC listings'!$A$5:$A$200,$M172,'QC listings'!$C$5:$C$200,Q$4,'QC listings'!$F$5:$F$200,"Brand page")&gt;0,"Y",IF(COUNTIFS('QC listings'!$A$5:$A$200,$M172,'QC listings'!$C$5:$C$200,Q$4)&gt;0,"?","–")))</f>
        <v>–</v>
      </c>
      <c r="R172" s="12" t="str">
        <f aca="false">IF($M172="","",IF(COUNTIFS('QC listings'!$A$5:$A$200,$M172,'QC listings'!$C$5:$C$200,R$4,'QC listings'!$F$5:$F$200,"Listing page")+COUNTIFS('QC listings'!$A$5:$A$200,$M172,'QC listings'!$C$5:$C$200,R$4,'QC listings'!$F$5:$F$200,"Brand page")&gt;0,"Y",IF(COUNTIFS('QC listings'!$A$5:$A$200,$M172,'QC listings'!$C$5:$C$200,R$4)&gt;0,"?","–")))</f>
        <v>–</v>
      </c>
      <c r="S172" s="12" t="n">
        <f aca="false">IF($M172="","",COUNTIF(O172:R172,"Y"))</f>
        <v>1</v>
      </c>
      <c r="T172" s="23" t="n">
        <f aca="false">IF($M172="","",SUMPRODUCT(MAX(('QC listings'!$A$5:$A$200=$M172)*'QC listings'!$E$5:$E$200)))</f>
        <v>0</v>
      </c>
      <c r="U172" s="12" t="n">
        <f aca="false">IF($M172="","",IF(T172&gt;=Scoring!$B$11,3,IF(T172&gt;=Scoring!$B$10,2,IF(T172&gt;=Scoring!$B$9,1,0))))</f>
        <v>0</v>
      </c>
      <c r="V172" s="12" t="n">
        <f aca="false">IFERROR(INDEX(Scoring!$B$27:$B$56,MATCH($E172,Scoring!$A$27:$A$56,0)),0)</f>
        <v>0</v>
      </c>
      <c r="W172" s="24" t="n">
        <f aca="false">IF($G172="","",ROUND((Scoring!$B$5-$G172)/30.4375,1))</f>
        <v>27.5</v>
      </c>
      <c r="X172" s="12" t="n">
        <f aca="false">IF($F172="Expired",Scoring!$B$18,IF($G172="",Scoring!$B$17,IF(W172&lt;=Scoring!$B$12,Scoring!$B$13,IF(W172&lt;=Scoring!$B$14,Scoring!$B$15,Scoring!$B$16))))</f>
        <v>0</v>
      </c>
      <c r="Y172" s="15" t="n">
        <f aca="false">IF($M172="","",ROUND((S172*Scoring!$B$6+U172*Scoring!$B$7)*IFERROR(INDEX(Scoring!$B$22:$B$24,MATCH($N172,Scoring!$A$22:$A$24,0)),1)+V172*Scoring!$B$8+X172,2))</f>
        <v>0.75</v>
      </c>
      <c r="Z172" s="12" t="n">
        <f aca="false">IF($M172="","",IF(SUMPRODUCT(($M$5:$M$249=$M172)*($G$5:$G$249&gt;$G172))&gt;0,0,IF(SUMPRODUCT(($M$5:$M$249=$M172)*($G$5:$G$249=$G172)*(ROW($M$5:$M$249)&lt;ROW($M172)))&gt;0,0,1)))</f>
        <v>1</v>
      </c>
      <c r="AA172" s="12" t="n">
        <f aca="false">IF($Z172=1,RANK($AE172,$AE$5:$AE$249,0),"")</f>
        <v>39</v>
      </c>
      <c r="AB172" s="7" t="s">
        <v>153</v>
      </c>
      <c r="AC172" s="6" t="s">
        <v>162</v>
      </c>
      <c r="AD172" s="6" t="s">
        <v>992</v>
      </c>
      <c r="AE172" s="25" t="n">
        <f aca="false">IF($Z172=1,$Y172+$T172/1000000000-ROW()/10000000,"")</f>
        <v>0.7499828</v>
      </c>
    </row>
    <row r="173" customFormat="false" ht="23.85" hidden="false" customHeight="false" outlineLevel="0" collapsed="false">
      <c r="A173" s="7" t="s">
        <v>993</v>
      </c>
      <c r="B173" s="6" t="s">
        <v>509</v>
      </c>
      <c r="C173" s="6" t="s">
        <v>994</v>
      </c>
      <c r="D173" s="7" t="s">
        <v>757</v>
      </c>
      <c r="E173" s="7" t="s">
        <v>801</v>
      </c>
      <c r="F173" s="12" t="s">
        <v>222</v>
      </c>
      <c r="G173" s="13"/>
      <c r="H173" s="7"/>
      <c r="I173" s="6" t="s">
        <v>202</v>
      </c>
      <c r="J173" s="7" t="s">
        <v>203</v>
      </c>
      <c r="K173" s="12" t="s">
        <v>794</v>
      </c>
      <c r="L173" s="10" t="s">
        <v>75</v>
      </c>
      <c r="M173" s="7" t="s">
        <v>991</v>
      </c>
      <c r="N173" s="12" t="s">
        <v>152</v>
      </c>
      <c r="O173" s="12" t="str">
        <f aca="false">IF($M173="","",IF(COUNTIFS('QC listings'!$A$5:$A$200,$M173,'QC listings'!$C$5:$C$200,O$4,'QC listings'!$F$5:$F$200,"Listing page")+COUNTIFS('QC listings'!$A$5:$A$200,$M173,'QC listings'!$C$5:$C$200,O$4,'QC listings'!$F$5:$F$200,"Brand page")&gt;0,"Y",IF(COUNTIFS('QC listings'!$A$5:$A$200,$M173,'QC listings'!$C$5:$C$200,O$4)&gt;0,"?","–")))</f>
        <v>–</v>
      </c>
      <c r="P173" s="12" t="str">
        <f aca="false">IF($M173="","",IF(COUNTIFS('QC listings'!$A$5:$A$200,$M173,'QC listings'!$C$5:$C$200,P$4,'QC listings'!$F$5:$F$200,"Listing page")+COUNTIFS('QC listings'!$A$5:$A$200,$M173,'QC listings'!$C$5:$C$200,P$4,'QC listings'!$F$5:$F$200,"Brand page")&gt;0,"Y",IF(COUNTIFS('QC listings'!$A$5:$A$200,$M173,'QC listings'!$C$5:$C$200,P$4)&gt;0,"?","–")))</f>
        <v>Y</v>
      </c>
      <c r="Q173" s="12" t="str">
        <f aca="false">IF($M173="","",IF(COUNTIFS('QC listings'!$A$5:$A$200,$M173,'QC listings'!$C$5:$C$200,Q$4,'QC listings'!$F$5:$F$200,"Listing page")+COUNTIFS('QC listings'!$A$5:$A$200,$M173,'QC listings'!$C$5:$C$200,Q$4,'QC listings'!$F$5:$F$200,"Brand page")&gt;0,"Y",IF(COUNTIFS('QC listings'!$A$5:$A$200,$M173,'QC listings'!$C$5:$C$200,Q$4)&gt;0,"?","–")))</f>
        <v>–</v>
      </c>
      <c r="R173" s="12" t="str">
        <f aca="false">IF($M173="","",IF(COUNTIFS('QC listings'!$A$5:$A$200,$M173,'QC listings'!$C$5:$C$200,R$4,'QC listings'!$F$5:$F$200,"Listing page")+COUNTIFS('QC listings'!$A$5:$A$200,$M173,'QC listings'!$C$5:$C$200,R$4,'QC listings'!$F$5:$F$200,"Brand page")&gt;0,"Y",IF(COUNTIFS('QC listings'!$A$5:$A$200,$M173,'QC listings'!$C$5:$C$200,R$4)&gt;0,"?","–")))</f>
        <v>–</v>
      </c>
      <c r="S173" s="12" t="n">
        <f aca="false">IF($M173="","",COUNTIF(O173:R173,"Y"))</f>
        <v>1</v>
      </c>
      <c r="T173" s="23" t="n">
        <f aca="false">IF($M173="","",SUMPRODUCT(MAX(('QC listings'!$A$5:$A$200=$M173)*'QC listings'!$E$5:$E$200)))</f>
        <v>0</v>
      </c>
      <c r="U173" s="12" t="n">
        <f aca="false">IF($M173="","",IF(T173&gt;=Scoring!$B$11,3,IF(T173&gt;=Scoring!$B$10,2,IF(T173&gt;=Scoring!$B$9,1,0))))</f>
        <v>0</v>
      </c>
      <c r="V173" s="12" t="n">
        <f aca="false">IFERROR(INDEX(Scoring!$B$27:$B$56,MATCH($E173,Scoring!$A$27:$A$56,0)),0)</f>
        <v>0</v>
      </c>
      <c r="W173" s="24" t="str">
        <f aca="false">IF($G173="","",ROUND((Scoring!$B$5-$G173)/30.4375,1))</f>
        <v/>
      </c>
      <c r="X173" s="12" t="n">
        <f aca="false">IF($F173="Expired",Scoring!$B$18,IF($G173="",Scoring!$B$17,IF(W173&lt;=Scoring!$B$12,Scoring!$B$13,IF(W173&lt;=Scoring!$B$14,Scoring!$B$15,Scoring!$B$16))))</f>
        <v>1</v>
      </c>
      <c r="Y173" s="15" t="n">
        <f aca="false">IF($M173="","",ROUND((S173*Scoring!$B$6+U173*Scoring!$B$7)*IFERROR(INDEX(Scoring!$B$22:$B$24,MATCH($N173,Scoring!$A$22:$A$24,0)),1)+V173*Scoring!$B$8+X173,2))</f>
        <v>2</v>
      </c>
      <c r="Z173" s="12" t="n">
        <f aca="false">IF($M173="","",IF(SUMPRODUCT(($M$5:$M$249=$M173)*($G$5:$G$249&gt;$G173))&gt;0,0,IF(SUMPRODUCT(($M$5:$M$249=$M173)*($G$5:$G$249=$G173)*(ROW($M$5:$M$249)&lt;ROW($M173)))&gt;0,0,1)))</f>
        <v>0</v>
      </c>
      <c r="AA173" s="12" t="str">
        <f aca="false">IF($Z173=1,RANK($AE173,$AE$5:$AE$249,0),"")</f>
        <v/>
      </c>
      <c r="AB173" s="7" t="s">
        <v>205</v>
      </c>
      <c r="AC173" s="6" t="s">
        <v>206</v>
      </c>
      <c r="AD173" s="6" t="s">
        <v>995</v>
      </c>
      <c r="AE173" s="25" t="str">
        <f aca="false">IF($Z173=1,$Y173+$T173/1000000000-ROW()/10000000,"")</f>
        <v/>
      </c>
    </row>
    <row r="174" customFormat="false" ht="23.85" hidden="false" customHeight="false" outlineLevel="0" collapsed="false">
      <c r="A174" s="7" t="s">
        <v>996</v>
      </c>
      <c r="B174" s="6" t="s">
        <v>509</v>
      </c>
      <c r="C174" s="6" t="s">
        <v>997</v>
      </c>
      <c r="D174" s="7" t="s">
        <v>757</v>
      </c>
      <c r="E174" s="7" t="s">
        <v>801</v>
      </c>
      <c r="F174" s="12" t="s">
        <v>725</v>
      </c>
      <c r="G174" s="13" t="n">
        <v>46281</v>
      </c>
      <c r="H174" s="7" t="s">
        <v>998</v>
      </c>
      <c r="I174" s="6" t="s">
        <v>999</v>
      </c>
      <c r="J174" s="7" t="s">
        <v>1000</v>
      </c>
      <c r="K174" s="12"/>
      <c r="L174" s="10" t="s">
        <v>1001</v>
      </c>
      <c r="M174" s="7"/>
      <c r="N174" s="12"/>
      <c r="O174" s="12" t="str">
        <f aca="false">IF($M174="","",IF(COUNTIFS('QC listings'!$A$5:$A$200,$M174,'QC listings'!$C$5:$C$200,O$4,'QC listings'!$F$5:$F$200,"Listing page")+COUNTIFS('QC listings'!$A$5:$A$200,$M174,'QC listings'!$C$5:$C$200,O$4,'QC listings'!$F$5:$F$200,"Brand page")&gt;0,"Y",IF(COUNTIFS('QC listings'!$A$5:$A$200,$M174,'QC listings'!$C$5:$C$200,O$4)&gt;0,"?","–")))</f>
        <v/>
      </c>
      <c r="P174" s="12" t="str">
        <f aca="false">IF($M174="","",IF(COUNTIFS('QC listings'!$A$5:$A$200,$M174,'QC listings'!$C$5:$C$200,P$4,'QC listings'!$F$5:$F$200,"Listing page")+COUNTIFS('QC listings'!$A$5:$A$200,$M174,'QC listings'!$C$5:$C$200,P$4,'QC listings'!$F$5:$F$200,"Brand page")&gt;0,"Y",IF(COUNTIFS('QC listings'!$A$5:$A$200,$M174,'QC listings'!$C$5:$C$200,P$4)&gt;0,"?","–")))</f>
        <v/>
      </c>
      <c r="Q174" s="12" t="str">
        <f aca="false">IF($M174="","",IF(COUNTIFS('QC listings'!$A$5:$A$200,$M174,'QC listings'!$C$5:$C$200,Q$4,'QC listings'!$F$5:$F$200,"Listing page")+COUNTIFS('QC listings'!$A$5:$A$200,$M174,'QC listings'!$C$5:$C$200,Q$4,'QC listings'!$F$5:$F$200,"Brand page")&gt;0,"Y",IF(COUNTIFS('QC listings'!$A$5:$A$200,$M174,'QC listings'!$C$5:$C$200,Q$4)&gt;0,"?","–")))</f>
        <v/>
      </c>
      <c r="R174" s="12" t="str">
        <f aca="false">IF($M174="","",IF(COUNTIFS('QC listings'!$A$5:$A$200,$M174,'QC listings'!$C$5:$C$200,R$4,'QC listings'!$F$5:$F$200,"Listing page")+COUNTIFS('QC listings'!$A$5:$A$200,$M174,'QC listings'!$C$5:$C$200,R$4,'QC listings'!$F$5:$F$200,"Brand page")&gt;0,"Y",IF(COUNTIFS('QC listings'!$A$5:$A$200,$M174,'QC listings'!$C$5:$C$200,R$4)&gt;0,"?","–")))</f>
        <v/>
      </c>
      <c r="S174" s="12" t="str">
        <f aca="false">IF($M174="","",COUNTIF(O174:R174,"Y"))</f>
        <v/>
      </c>
      <c r="T174" s="23" t="str">
        <f aca="false">IF($M174="","",SUMPRODUCT(MAX(('QC listings'!$A$5:$A$200=$M174)*'QC listings'!$E$5:$E$200)))</f>
        <v/>
      </c>
      <c r="U174" s="12" t="str">
        <f aca="false">IF($M174="","",IF(T174&gt;=Scoring!$B$11,3,IF(T174&gt;=Scoring!$B$10,2,IF(T174&gt;=Scoring!$B$9,1,0))))</f>
        <v/>
      </c>
      <c r="V174" s="12" t="n">
        <f aca="false">IFERROR(INDEX(Scoring!$B$27:$B$56,MATCH($E174,Scoring!$A$27:$A$56,0)),0)</f>
        <v>0</v>
      </c>
      <c r="W174" s="24" t="n">
        <f aca="false">IF($G174="","",ROUND((Scoring!$B$5-$G174)/30.4375,1))</f>
        <v>0.5</v>
      </c>
      <c r="X174" s="12" t="n">
        <f aca="false">IF($F174="Expired",Scoring!$B$18,IF($G174="",Scoring!$B$17,IF(W174&lt;=Scoring!$B$12,Scoring!$B$13,IF(W174&lt;=Scoring!$B$14,Scoring!$B$15,Scoring!$B$16))))</f>
        <v>2</v>
      </c>
      <c r="Y174" s="15" t="str">
        <f aca="false">IF($M174="","",ROUND((S174*Scoring!$B$6+U174*Scoring!$B$7)*IFERROR(INDEX(Scoring!$B$22:$B$24,MATCH($N174,Scoring!$A$22:$A$24,0)),1)+V174*Scoring!$B$8+X174,2))</f>
        <v/>
      </c>
      <c r="Z174" s="12" t="str">
        <f aca="false">IF($M174="","",IF(SUMPRODUCT(($M$5:$M$249=$M174)*($G$5:$G$249&gt;$G174))&gt;0,0,IF(SUMPRODUCT(($M$5:$M$249=$M174)*($G$5:$G$249=$G174)*(ROW($M$5:$M$249)&lt;ROW($M174)))&gt;0,0,1)))</f>
        <v/>
      </c>
      <c r="AA174" s="12" t="str">
        <f aca="false">IF($Z174=1,RANK($AE174,$AE$5:$AE$249,0),"")</f>
        <v/>
      </c>
      <c r="AB174" s="7" t="s">
        <v>1002</v>
      </c>
      <c r="AC174" s="6" t="s">
        <v>1003</v>
      </c>
      <c r="AD174" s="6" t="s">
        <v>1004</v>
      </c>
      <c r="AE174" s="25" t="str">
        <f aca="false">IF($Z174=1,$Y174+$T174/1000000000-ROW()/10000000,"")</f>
        <v/>
      </c>
    </row>
    <row r="175" customFormat="false" ht="23.85" hidden="false" customHeight="false" outlineLevel="0" collapsed="false">
      <c r="A175" s="7" t="s">
        <v>1005</v>
      </c>
      <c r="B175" s="6" t="s">
        <v>509</v>
      </c>
      <c r="C175" s="6" t="s">
        <v>1006</v>
      </c>
      <c r="D175" s="7" t="s">
        <v>757</v>
      </c>
      <c r="E175" s="7" t="s">
        <v>801</v>
      </c>
      <c r="F175" s="12" t="s">
        <v>725</v>
      </c>
      <c r="G175" s="13" t="n">
        <v>46283</v>
      </c>
      <c r="H175" s="7" t="s">
        <v>1007</v>
      </c>
      <c r="I175" s="6" t="s">
        <v>999</v>
      </c>
      <c r="J175" s="7" t="s">
        <v>1000</v>
      </c>
      <c r="K175" s="12"/>
      <c r="L175" s="10" t="s">
        <v>1008</v>
      </c>
      <c r="M175" s="7"/>
      <c r="N175" s="12"/>
      <c r="O175" s="12" t="str">
        <f aca="false">IF($M175="","",IF(COUNTIFS('QC listings'!$A$5:$A$200,$M175,'QC listings'!$C$5:$C$200,O$4,'QC listings'!$F$5:$F$200,"Listing page")+COUNTIFS('QC listings'!$A$5:$A$200,$M175,'QC listings'!$C$5:$C$200,O$4,'QC listings'!$F$5:$F$200,"Brand page")&gt;0,"Y",IF(COUNTIFS('QC listings'!$A$5:$A$200,$M175,'QC listings'!$C$5:$C$200,O$4)&gt;0,"?","–")))</f>
        <v/>
      </c>
      <c r="P175" s="12" t="str">
        <f aca="false">IF($M175="","",IF(COUNTIFS('QC listings'!$A$5:$A$200,$M175,'QC listings'!$C$5:$C$200,P$4,'QC listings'!$F$5:$F$200,"Listing page")+COUNTIFS('QC listings'!$A$5:$A$200,$M175,'QC listings'!$C$5:$C$200,P$4,'QC listings'!$F$5:$F$200,"Brand page")&gt;0,"Y",IF(COUNTIFS('QC listings'!$A$5:$A$200,$M175,'QC listings'!$C$5:$C$200,P$4)&gt;0,"?","–")))</f>
        <v/>
      </c>
      <c r="Q175" s="12" t="str">
        <f aca="false">IF($M175="","",IF(COUNTIFS('QC listings'!$A$5:$A$200,$M175,'QC listings'!$C$5:$C$200,Q$4,'QC listings'!$F$5:$F$200,"Listing page")+COUNTIFS('QC listings'!$A$5:$A$200,$M175,'QC listings'!$C$5:$C$200,Q$4,'QC listings'!$F$5:$F$200,"Brand page")&gt;0,"Y",IF(COUNTIFS('QC listings'!$A$5:$A$200,$M175,'QC listings'!$C$5:$C$200,Q$4)&gt;0,"?","–")))</f>
        <v/>
      </c>
      <c r="R175" s="12" t="str">
        <f aca="false">IF($M175="","",IF(COUNTIFS('QC listings'!$A$5:$A$200,$M175,'QC listings'!$C$5:$C$200,R$4,'QC listings'!$F$5:$F$200,"Listing page")+COUNTIFS('QC listings'!$A$5:$A$200,$M175,'QC listings'!$C$5:$C$200,R$4,'QC listings'!$F$5:$F$200,"Brand page")&gt;0,"Y",IF(COUNTIFS('QC listings'!$A$5:$A$200,$M175,'QC listings'!$C$5:$C$200,R$4)&gt;0,"?","–")))</f>
        <v/>
      </c>
      <c r="S175" s="12" t="str">
        <f aca="false">IF($M175="","",COUNTIF(O175:R175,"Y"))</f>
        <v/>
      </c>
      <c r="T175" s="23" t="str">
        <f aca="false">IF($M175="","",SUMPRODUCT(MAX(('QC listings'!$A$5:$A$200=$M175)*'QC listings'!$E$5:$E$200)))</f>
        <v/>
      </c>
      <c r="U175" s="12" t="str">
        <f aca="false">IF($M175="","",IF(T175&gt;=Scoring!$B$11,3,IF(T175&gt;=Scoring!$B$10,2,IF(T175&gt;=Scoring!$B$9,1,0))))</f>
        <v/>
      </c>
      <c r="V175" s="12" t="n">
        <f aca="false">IFERROR(INDEX(Scoring!$B$27:$B$56,MATCH($E175,Scoring!$A$27:$A$56,0)),0)</f>
        <v>0</v>
      </c>
      <c r="W175" s="24" t="n">
        <f aca="false">IF($G175="","",ROUND((Scoring!$B$5-$G175)/30.4375,1))</f>
        <v>0.5</v>
      </c>
      <c r="X175" s="12" t="n">
        <f aca="false">IF($F175="Expired",Scoring!$B$18,IF($G175="",Scoring!$B$17,IF(W175&lt;=Scoring!$B$12,Scoring!$B$13,IF(W175&lt;=Scoring!$B$14,Scoring!$B$15,Scoring!$B$16))))</f>
        <v>2</v>
      </c>
      <c r="Y175" s="15" t="str">
        <f aca="false">IF($M175="","",ROUND((S175*Scoring!$B$6+U175*Scoring!$B$7)*IFERROR(INDEX(Scoring!$B$22:$B$24,MATCH($N175,Scoring!$A$22:$A$24,0)),1)+V175*Scoring!$B$8+X175,2))</f>
        <v/>
      </c>
      <c r="Z175" s="12" t="str">
        <f aca="false">IF($M175="","",IF(SUMPRODUCT(($M$5:$M$249=$M175)*($G$5:$G$249&gt;$G175))&gt;0,0,IF(SUMPRODUCT(($M$5:$M$249=$M175)*($G$5:$G$249=$G175)*(ROW($M$5:$M$249)&lt;ROW($M175)))&gt;0,0,1)))</f>
        <v/>
      </c>
      <c r="AA175" s="12" t="str">
        <f aca="false">IF($Z175=1,RANK($AE175,$AE$5:$AE$249,0),"")</f>
        <v/>
      </c>
      <c r="AB175" s="7" t="s">
        <v>1002</v>
      </c>
      <c r="AC175" s="6" t="s">
        <v>1003</v>
      </c>
      <c r="AD175" s="6" t="s">
        <v>1009</v>
      </c>
      <c r="AE175" s="25" t="str">
        <f aca="false">IF($Z175=1,$Y175+$T175/1000000000-ROW()/10000000,"")</f>
        <v/>
      </c>
    </row>
    <row r="176" customFormat="false" ht="23.85" hidden="false" customHeight="false" outlineLevel="0" collapsed="false">
      <c r="A176" s="7" t="s">
        <v>1010</v>
      </c>
      <c r="B176" s="6" t="s">
        <v>509</v>
      </c>
      <c r="C176" s="6" t="s">
        <v>1011</v>
      </c>
      <c r="D176" s="7" t="s">
        <v>757</v>
      </c>
      <c r="E176" s="7" t="s">
        <v>801</v>
      </c>
      <c r="F176" s="12" t="s">
        <v>725</v>
      </c>
      <c r="G176" s="13" t="n">
        <v>46286</v>
      </c>
      <c r="H176" s="7" t="s">
        <v>1012</v>
      </c>
      <c r="I176" s="6" t="s">
        <v>999</v>
      </c>
      <c r="J176" s="7" t="s">
        <v>1000</v>
      </c>
      <c r="K176" s="12"/>
      <c r="L176" s="10" t="s">
        <v>1013</v>
      </c>
      <c r="M176" s="7" t="s">
        <v>1014</v>
      </c>
      <c r="N176" s="12" t="s">
        <v>152</v>
      </c>
      <c r="O176" s="12" t="str">
        <f aca="false">IF($M176="","",IF(COUNTIFS('QC listings'!$A$5:$A$200,$M176,'QC listings'!$C$5:$C$200,O$4,'QC listings'!$F$5:$F$200,"Listing page")+COUNTIFS('QC listings'!$A$5:$A$200,$M176,'QC listings'!$C$5:$C$200,O$4,'QC listings'!$F$5:$F$200,"Brand page")&gt;0,"Y",IF(COUNTIFS('QC listings'!$A$5:$A$200,$M176,'QC listings'!$C$5:$C$200,O$4)&gt;0,"?","–")))</f>
        <v>–</v>
      </c>
      <c r="P176" s="12" t="str">
        <f aca="false">IF($M176="","",IF(COUNTIFS('QC listings'!$A$5:$A$200,$M176,'QC listings'!$C$5:$C$200,P$4,'QC listings'!$F$5:$F$200,"Listing page")+COUNTIFS('QC listings'!$A$5:$A$200,$M176,'QC listings'!$C$5:$C$200,P$4,'QC listings'!$F$5:$F$200,"Brand page")&gt;0,"Y",IF(COUNTIFS('QC listings'!$A$5:$A$200,$M176,'QC listings'!$C$5:$C$200,P$4)&gt;0,"?","–")))</f>
        <v>Y</v>
      </c>
      <c r="Q176" s="12" t="str">
        <f aca="false">IF($M176="","",IF(COUNTIFS('QC listings'!$A$5:$A$200,$M176,'QC listings'!$C$5:$C$200,Q$4,'QC listings'!$F$5:$F$200,"Listing page")+COUNTIFS('QC listings'!$A$5:$A$200,$M176,'QC listings'!$C$5:$C$200,Q$4,'QC listings'!$F$5:$F$200,"Brand page")&gt;0,"Y",IF(COUNTIFS('QC listings'!$A$5:$A$200,$M176,'QC listings'!$C$5:$C$200,Q$4)&gt;0,"?","–")))</f>
        <v>–</v>
      </c>
      <c r="R176" s="12" t="str">
        <f aca="false">IF($M176="","",IF(COUNTIFS('QC listings'!$A$5:$A$200,$M176,'QC listings'!$C$5:$C$200,R$4,'QC listings'!$F$5:$F$200,"Listing page")+COUNTIFS('QC listings'!$A$5:$A$200,$M176,'QC listings'!$C$5:$C$200,R$4,'QC listings'!$F$5:$F$200,"Brand page")&gt;0,"Y",IF(COUNTIFS('QC listings'!$A$5:$A$200,$M176,'QC listings'!$C$5:$C$200,R$4)&gt;0,"?","–")))</f>
        <v>–</v>
      </c>
      <c r="S176" s="12" t="n">
        <f aca="false">IF($M176="","",COUNTIF(O176:R176,"Y"))</f>
        <v>1</v>
      </c>
      <c r="T176" s="23" t="n">
        <f aca="false">IF($M176="","",SUMPRODUCT(MAX(('QC listings'!$A$5:$A$200=$M176)*'QC listings'!$E$5:$E$200)))</f>
        <v>0</v>
      </c>
      <c r="U176" s="12" t="n">
        <f aca="false">IF($M176="","",IF(T176&gt;=Scoring!$B$11,3,IF(T176&gt;=Scoring!$B$10,2,IF(T176&gt;=Scoring!$B$9,1,0))))</f>
        <v>0</v>
      </c>
      <c r="V176" s="12" t="n">
        <f aca="false">IFERROR(INDEX(Scoring!$B$27:$B$56,MATCH($E176,Scoring!$A$27:$A$56,0)),0)</f>
        <v>0</v>
      </c>
      <c r="W176" s="24" t="n">
        <f aca="false">IF($G176="","",ROUND((Scoring!$B$5-$G176)/30.4375,1))</f>
        <v>0.4</v>
      </c>
      <c r="X176" s="12" t="n">
        <f aca="false">IF($F176="Expired",Scoring!$B$18,IF($G176="",Scoring!$B$17,IF(W176&lt;=Scoring!$B$12,Scoring!$B$13,IF(W176&lt;=Scoring!$B$14,Scoring!$B$15,Scoring!$B$16))))</f>
        <v>2</v>
      </c>
      <c r="Y176" s="15" t="n">
        <f aca="false">IF($M176="","",ROUND((S176*Scoring!$B$6+U176*Scoring!$B$7)*IFERROR(INDEX(Scoring!$B$22:$B$24,MATCH($N176,Scoring!$A$22:$A$24,0)),1)+V176*Scoring!$B$8+X176,2))</f>
        <v>3</v>
      </c>
      <c r="Z176" s="12" t="n">
        <f aca="false">IF($M176="","",IF(SUMPRODUCT(($M$5:$M$249=$M176)*($G$5:$G$249&gt;$G176))&gt;0,0,IF(SUMPRODUCT(($M$5:$M$249=$M176)*($G$5:$G$249=$G176)*(ROW($M$5:$M$249)&lt;ROW($M176)))&gt;0,0,1)))</f>
        <v>1</v>
      </c>
      <c r="AA176" s="12" t="n">
        <f aca="false">IF($Z176=1,RANK($AE176,$AE$5:$AE$249,0),"")</f>
        <v>30</v>
      </c>
      <c r="AB176" s="7" t="s">
        <v>1002</v>
      </c>
      <c r="AC176" s="6" t="s">
        <v>1003</v>
      </c>
      <c r="AD176" s="6" t="s">
        <v>1015</v>
      </c>
      <c r="AE176" s="25" t="n">
        <f aca="false">IF($Z176=1,$Y176+$T176/1000000000-ROW()/10000000,"")</f>
        <v>2.9999824</v>
      </c>
    </row>
    <row r="177" customFormat="false" ht="23.85" hidden="false" customHeight="false" outlineLevel="0" collapsed="false">
      <c r="A177" s="7" t="s">
        <v>1016</v>
      </c>
      <c r="B177" s="6" t="s">
        <v>509</v>
      </c>
      <c r="C177" s="6" t="s">
        <v>1017</v>
      </c>
      <c r="D177" s="7" t="s">
        <v>757</v>
      </c>
      <c r="E177" s="7" t="s">
        <v>801</v>
      </c>
      <c r="F177" s="12" t="s">
        <v>725</v>
      </c>
      <c r="G177" s="13" t="n">
        <v>46286</v>
      </c>
      <c r="H177" s="7" t="s">
        <v>1018</v>
      </c>
      <c r="I177" s="6" t="s">
        <v>999</v>
      </c>
      <c r="J177" s="7" t="s">
        <v>1000</v>
      </c>
      <c r="K177" s="12"/>
      <c r="L177" s="10" t="s">
        <v>1019</v>
      </c>
      <c r="M177" s="7"/>
      <c r="N177" s="12"/>
      <c r="O177" s="12" t="str">
        <f aca="false">IF($M177="","",IF(COUNTIFS('QC listings'!$A$5:$A$200,$M177,'QC listings'!$C$5:$C$200,O$4,'QC listings'!$F$5:$F$200,"Listing page")+COUNTIFS('QC listings'!$A$5:$A$200,$M177,'QC listings'!$C$5:$C$200,O$4,'QC listings'!$F$5:$F$200,"Brand page")&gt;0,"Y",IF(COUNTIFS('QC listings'!$A$5:$A$200,$M177,'QC listings'!$C$5:$C$200,O$4)&gt;0,"?","–")))</f>
        <v/>
      </c>
      <c r="P177" s="12" t="str">
        <f aca="false">IF($M177="","",IF(COUNTIFS('QC listings'!$A$5:$A$200,$M177,'QC listings'!$C$5:$C$200,P$4,'QC listings'!$F$5:$F$200,"Listing page")+COUNTIFS('QC listings'!$A$5:$A$200,$M177,'QC listings'!$C$5:$C$200,P$4,'QC listings'!$F$5:$F$200,"Brand page")&gt;0,"Y",IF(COUNTIFS('QC listings'!$A$5:$A$200,$M177,'QC listings'!$C$5:$C$200,P$4)&gt;0,"?","–")))</f>
        <v/>
      </c>
      <c r="Q177" s="12" t="str">
        <f aca="false">IF($M177="","",IF(COUNTIFS('QC listings'!$A$5:$A$200,$M177,'QC listings'!$C$5:$C$200,Q$4,'QC listings'!$F$5:$F$200,"Listing page")+COUNTIFS('QC listings'!$A$5:$A$200,$M177,'QC listings'!$C$5:$C$200,Q$4,'QC listings'!$F$5:$F$200,"Brand page")&gt;0,"Y",IF(COUNTIFS('QC listings'!$A$5:$A$200,$M177,'QC listings'!$C$5:$C$200,Q$4)&gt;0,"?","–")))</f>
        <v/>
      </c>
      <c r="R177" s="12" t="str">
        <f aca="false">IF($M177="","",IF(COUNTIFS('QC listings'!$A$5:$A$200,$M177,'QC listings'!$C$5:$C$200,R$4,'QC listings'!$F$5:$F$200,"Listing page")+COUNTIFS('QC listings'!$A$5:$A$200,$M177,'QC listings'!$C$5:$C$200,R$4,'QC listings'!$F$5:$F$200,"Brand page")&gt;0,"Y",IF(COUNTIFS('QC listings'!$A$5:$A$200,$M177,'QC listings'!$C$5:$C$200,R$4)&gt;0,"?","–")))</f>
        <v/>
      </c>
      <c r="S177" s="12" t="str">
        <f aca="false">IF($M177="","",COUNTIF(O177:R177,"Y"))</f>
        <v/>
      </c>
      <c r="T177" s="23" t="str">
        <f aca="false">IF($M177="","",SUMPRODUCT(MAX(('QC listings'!$A$5:$A$200=$M177)*'QC listings'!$E$5:$E$200)))</f>
        <v/>
      </c>
      <c r="U177" s="12" t="str">
        <f aca="false">IF($M177="","",IF(T177&gt;=Scoring!$B$11,3,IF(T177&gt;=Scoring!$B$10,2,IF(T177&gt;=Scoring!$B$9,1,0))))</f>
        <v/>
      </c>
      <c r="V177" s="12" t="n">
        <f aca="false">IFERROR(INDEX(Scoring!$B$27:$B$56,MATCH($E177,Scoring!$A$27:$A$56,0)),0)</f>
        <v>0</v>
      </c>
      <c r="W177" s="24" t="n">
        <f aca="false">IF($G177="","",ROUND((Scoring!$B$5-$G177)/30.4375,1))</f>
        <v>0.4</v>
      </c>
      <c r="X177" s="12" t="n">
        <f aca="false">IF($F177="Expired",Scoring!$B$18,IF($G177="",Scoring!$B$17,IF(W177&lt;=Scoring!$B$12,Scoring!$B$13,IF(W177&lt;=Scoring!$B$14,Scoring!$B$15,Scoring!$B$16))))</f>
        <v>2</v>
      </c>
      <c r="Y177" s="15" t="str">
        <f aca="false">IF($M177="","",ROUND((S177*Scoring!$B$6+U177*Scoring!$B$7)*IFERROR(INDEX(Scoring!$B$22:$B$24,MATCH($N177,Scoring!$A$22:$A$24,0)),1)+V177*Scoring!$B$8+X177,2))</f>
        <v/>
      </c>
      <c r="Z177" s="12" t="str">
        <f aca="false">IF($M177="","",IF(SUMPRODUCT(($M$5:$M$249=$M177)*($G$5:$G$249&gt;$G177))&gt;0,0,IF(SUMPRODUCT(($M$5:$M$249=$M177)*($G$5:$G$249=$G177)*(ROW($M$5:$M$249)&lt;ROW($M177)))&gt;0,0,1)))</f>
        <v/>
      </c>
      <c r="AA177" s="12" t="str">
        <f aca="false">IF($Z177=1,RANK($AE177,$AE$5:$AE$249,0),"")</f>
        <v/>
      </c>
      <c r="AB177" s="7" t="s">
        <v>1002</v>
      </c>
      <c r="AC177" s="6" t="s">
        <v>1003</v>
      </c>
      <c r="AD177" s="6" t="s">
        <v>1004</v>
      </c>
      <c r="AE177" s="25" t="str">
        <f aca="false">IF($Z177=1,$Y177+$T177/1000000000-ROW()/10000000,"")</f>
        <v/>
      </c>
    </row>
    <row r="178" customFormat="false" ht="23.85" hidden="false" customHeight="false" outlineLevel="0" collapsed="false">
      <c r="A178" s="7" t="s">
        <v>1020</v>
      </c>
      <c r="B178" s="6" t="s">
        <v>509</v>
      </c>
      <c r="C178" s="6" t="s">
        <v>1021</v>
      </c>
      <c r="D178" s="7" t="s">
        <v>757</v>
      </c>
      <c r="E178" s="7" t="s">
        <v>801</v>
      </c>
      <c r="F178" s="12" t="s">
        <v>725</v>
      </c>
      <c r="G178" s="13" t="n">
        <v>46284</v>
      </c>
      <c r="H178" s="7" t="s">
        <v>1022</v>
      </c>
      <c r="I178" s="6" t="s">
        <v>999</v>
      </c>
      <c r="J178" s="7" t="s">
        <v>1000</v>
      </c>
      <c r="K178" s="12"/>
      <c r="L178" s="10" t="s">
        <v>1023</v>
      </c>
      <c r="M178" s="7"/>
      <c r="N178" s="12"/>
      <c r="O178" s="12" t="str">
        <f aca="false">IF($M178="","",IF(COUNTIFS('QC listings'!$A$5:$A$200,$M178,'QC listings'!$C$5:$C$200,O$4,'QC listings'!$F$5:$F$200,"Listing page")+COUNTIFS('QC listings'!$A$5:$A$200,$M178,'QC listings'!$C$5:$C$200,O$4,'QC listings'!$F$5:$F$200,"Brand page")&gt;0,"Y",IF(COUNTIFS('QC listings'!$A$5:$A$200,$M178,'QC listings'!$C$5:$C$200,O$4)&gt;0,"?","–")))</f>
        <v/>
      </c>
      <c r="P178" s="12" t="str">
        <f aca="false">IF($M178="","",IF(COUNTIFS('QC listings'!$A$5:$A$200,$M178,'QC listings'!$C$5:$C$200,P$4,'QC listings'!$F$5:$F$200,"Listing page")+COUNTIFS('QC listings'!$A$5:$A$200,$M178,'QC listings'!$C$5:$C$200,P$4,'QC listings'!$F$5:$F$200,"Brand page")&gt;0,"Y",IF(COUNTIFS('QC listings'!$A$5:$A$200,$M178,'QC listings'!$C$5:$C$200,P$4)&gt;0,"?","–")))</f>
        <v/>
      </c>
      <c r="Q178" s="12" t="str">
        <f aca="false">IF($M178="","",IF(COUNTIFS('QC listings'!$A$5:$A$200,$M178,'QC listings'!$C$5:$C$200,Q$4,'QC listings'!$F$5:$F$200,"Listing page")+COUNTIFS('QC listings'!$A$5:$A$200,$M178,'QC listings'!$C$5:$C$200,Q$4,'QC listings'!$F$5:$F$200,"Brand page")&gt;0,"Y",IF(COUNTIFS('QC listings'!$A$5:$A$200,$M178,'QC listings'!$C$5:$C$200,Q$4)&gt;0,"?","–")))</f>
        <v/>
      </c>
      <c r="R178" s="12" t="str">
        <f aca="false">IF($M178="","",IF(COUNTIFS('QC listings'!$A$5:$A$200,$M178,'QC listings'!$C$5:$C$200,R$4,'QC listings'!$F$5:$F$200,"Listing page")+COUNTIFS('QC listings'!$A$5:$A$200,$M178,'QC listings'!$C$5:$C$200,R$4,'QC listings'!$F$5:$F$200,"Brand page")&gt;0,"Y",IF(COUNTIFS('QC listings'!$A$5:$A$200,$M178,'QC listings'!$C$5:$C$200,R$4)&gt;0,"?","–")))</f>
        <v/>
      </c>
      <c r="S178" s="12" t="str">
        <f aca="false">IF($M178="","",COUNTIF(O178:R178,"Y"))</f>
        <v/>
      </c>
      <c r="T178" s="23" t="str">
        <f aca="false">IF($M178="","",SUMPRODUCT(MAX(('QC listings'!$A$5:$A$200=$M178)*'QC listings'!$E$5:$E$200)))</f>
        <v/>
      </c>
      <c r="U178" s="12" t="str">
        <f aca="false">IF($M178="","",IF(T178&gt;=Scoring!$B$11,3,IF(T178&gt;=Scoring!$B$10,2,IF(T178&gt;=Scoring!$B$9,1,0))))</f>
        <v/>
      </c>
      <c r="V178" s="12" t="n">
        <f aca="false">IFERROR(INDEX(Scoring!$B$27:$B$56,MATCH($E178,Scoring!$A$27:$A$56,0)),0)</f>
        <v>0</v>
      </c>
      <c r="W178" s="24" t="n">
        <f aca="false">IF($G178="","",ROUND((Scoring!$B$5-$G178)/30.4375,1))</f>
        <v>0.4</v>
      </c>
      <c r="X178" s="12" t="n">
        <f aca="false">IF($F178="Expired",Scoring!$B$18,IF($G178="",Scoring!$B$17,IF(W178&lt;=Scoring!$B$12,Scoring!$B$13,IF(W178&lt;=Scoring!$B$14,Scoring!$B$15,Scoring!$B$16))))</f>
        <v>2</v>
      </c>
      <c r="Y178" s="15" t="str">
        <f aca="false">IF($M178="","",ROUND((S178*Scoring!$B$6+U178*Scoring!$B$7)*IFERROR(INDEX(Scoring!$B$22:$B$24,MATCH($N178,Scoring!$A$22:$A$24,0)),1)+V178*Scoring!$B$8+X178,2))</f>
        <v/>
      </c>
      <c r="Z178" s="12" t="str">
        <f aca="false">IF($M178="","",IF(SUMPRODUCT(($M$5:$M$249=$M178)*($G$5:$G$249&gt;$G178))&gt;0,0,IF(SUMPRODUCT(($M$5:$M$249=$M178)*($G$5:$G$249=$G178)*(ROW($M$5:$M$249)&lt;ROW($M178)))&gt;0,0,1)))</f>
        <v/>
      </c>
      <c r="AA178" s="12" t="str">
        <f aca="false">IF($Z178=1,RANK($AE178,$AE$5:$AE$249,0),"")</f>
        <v/>
      </c>
      <c r="AB178" s="7" t="s">
        <v>1002</v>
      </c>
      <c r="AC178" s="6" t="s">
        <v>1003</v>
      </c>
      <c r="AD178" s="6" t="s">
        <v>1024</v>
      </c>
      <c r="AE178" s="25" t="str">
        <f aca="false">IF($Z178=1,$Y178+$T178/1000000000-ROW()/10000000,"")</f>
        <v/>
      </c>
    </row>
    <row r="179" customFormat="false" ht="23.85" hidden="false" customHeight="false" outlineLevel="0" collapsed="false">
      <c r="A179" s="7" t="s">
        <v>1025</v>
      </c>
      <c r="B179" s="6" t="s">
        <v>1026</v>
      </c>
      <c r="C179" s="6" t="s">
        <v>1027</v>
      </c>
      <c r="D179" s="7" t="s">
        <v>757</v>
      </c>
      <c r="E179" s="7" t="s">
        <v>801</v>
      </c>
      <c r="F179" s="12" t="s">
        <v>147</v>
      </c>
      <c r="G179" s="13" t="n">
        <v>45978</v>
      </c>
      <c r="H179" s="7" t="s">
        <v>1028</v>
      </c>
      <c r="I179" s="6" t="s">
        <v>149</v>
      </c>
      <c r="J179" s="7" t="s">
        <v>60</v>
      </c>
      <c r="K179" s="12"/>
      <c r="L179" s="10" t="s">
        <v>1029</v>
      </c>
      <c r="M179" s="7"/>
      <c r="N179" s="12"/>
      <c r="O179" s="12" t="str">
        <f aca="false">IF($M179="","",IF(COUNTIFS('QC listings'!$A$5:$A$200,$M179,'QC listings'!$C$5:$C$200,O$4,'QC listings'!$F$5:$F$200,"Listing page")+COUNTIFS('QC listings'!$A$5:$A$200,$M179,'QC listings'!$C$5:$C$200,O$4,'QC listings'!$F$5:$F$200,"Brand page")&gt;0,"Y",IF(COUNTIFS('QC listings'!$A$5:$A$200,$M179,'QC listings'!$C$5:$C$200,O$4)&gt;0,"?","–")))</f>
        <v/>
      </c>
      <c r="P179" s="12" t="str">
        <f aca="false">IF($M179="","",IF(COUNTIFS('QC listings'!$A$5:$A$200,$M179,'QC listings'!$C$5:$C$200,P$4,'QC listings'!$F$5:$F$200,"Listing page")+COUNTIFS('QC listings'!$A$5:$A$200,$M179,'QC listings'!$C$5:$C$200,P$4,'QC listings'!$F$5:$F$200,"Brand page")&gt;0,"Y",IF(COUNTIFS('QC listings'!$A$5:$A$200,$M179,'QC listings'!$C$5:$C$200,P$4)&gt;0,"?","–")))</f>
        <v/>
      </c>
      <c r="Q179" s="12" t="str">
        <f aca="false">IF($M179="","",IF(COUNTIFS('QC listings'!$A$5:$A$200,$M179,'QC listings'!$C$5:$C$200,Q$4,'QC listings'!$F$5:$F$200,"Listing page")+COUNTIFS('QC listings'!$A$5:$A$200,$M179,'QC listings'!$C$5:$C$200,Q$4,'QC listings'!$F$5:$F$200,"Brand page")&gt;0,"Y",IF(COUNTIFS('QC listings'!$A$5:$A$200,$M179,'QC listings'!$C$5:$C$200,Q$4)&gt;0,"?","–")))</f>
        <v/>
      </c>
      <c r="R179" s="12" t="str">
        <f aca="false">IF($M179="","",IF(COUNTIFS('QC listings'!$A$5:$A$200,$M179,'QC listings'!$C$5:$C$200,R$4,'QC listings'!$F$5:$F$200,"Listing page")+COUNTIFS('QC listings'!$A$5:$A$200,$M179,'QC listings'!$C$5:$C$200,R$4,'QC listings'!$F$5:$F$200,"Brand page")&gt;0,"Y",IF(COUNTIFS('QC listings'!$A$5:$A$200,$M179,'QC listings'!$C$5:$C$200,R$4)&gt;0,"?","–")))</f>
        <v/>
      </c>
      <c r="S179" s="12" t="str">
        <f aca="false">IF($M179="","",COUNTIF(O179:R179,"Y"))</f>
        <v/>
      </c>
      <c r="T179" s="23" t="str">
        <f aca="false">IF($M179="","",SUMPRODUCT(MAX(('QC listings'!$A$5:$A$200=$M179)*'QC listings'!$E$5:$E$200)))</f>
        <v/>
      </c>
      <c r="U179" s="12" t="str">
        <f aca="false">IF($M179="","",IF(T179&gt;=Scoring!$B$11,3,IF(T179&gt;=Scoring!$B$10,2,IF(T179&gt;=Scoring!$B$9,1,0))))</f>
        <v/>
      </c>
      <c r="V179" s="12" t="n">
        <f aca="false">IFERROR(INDEX(Scoring!$B$27:$B$56,MATCH($E179,Scoring!$A$27:$A$56,0)),0)</f>
        <v>0</v>
      </c>
      <c r="W179" s="24" t="n">
        <f aca="false">IF($G179="","",ROUND((Scoring!$B$5-$G179)/30.4375,1))</f>
        <v>10.5</v>
      </c>
      <c r="X179" s="12" t="n">
        <f aca="false">IF($F179="Expired",Scoring!$B$18,IF($G179="",Scoring!$B$17,IF(W179&lt;=Scoring!$B$12,Scoring!$B$13,IF(W179&lt;=Scoring!$B$14,Scoring!$B$15,Scoring!$B$16))))</f>
        <v>2</v>
      </c>
      <c r="Y179" s="15" t="str">
        <f aca="false">IF($M179="","",ROUND((S179*Scoring!$B$6+U179*Scoring!$B$7)*IFERROR(INDEX(Scoring!$B$22:$B$24,MATCH($N179,Scoring!$A$22:$A$24,0)),1)+V179*Scoring!$B$8+X179,2))</f>
        <v/>
      </c>
      <c r="Z179" s="12" t="str">
        <f aca="false">IF($M179="","",IF(SUMPRODUCT(($M$5:$M$249=$M179)*($G$5:$G$249&gt;$G179))&gt;0,0,IF(SUMPRODUCT(($M$5:$M$249=$M179)*($G$5:$G$249=$G179)*(ROW($M$5:$M$249)&lt;ROW($M179)))&gt;0,0,1)))</f>
        <v/>
      </c>
      <c r="AA179" s="12" t="str">
        <f aca="false">IF($Z179=1,RANK($AE179,$AE$5:$AE$249,0),"")</f>
        <v/>
      </c>
      <c r="AB179" s="7" t="s">
        <v>153</v>
      </c>
      <c r="AC179" s="6" t="s">
        <v>154</v>
      </c>
      <c r="AD179" s="6"/>
      <c r="AE179" s="25" t="str">
        <f aca="false">IF($Z179=1,$Y179+$T179/1000000000-ROW()/10000000,"")</f>
        <v/>
      </c>
    </row>
    <row r="180" customFormat="false" ht="23.85" hidden="false" customHeight="false" outlineLevel="0" collapsed="false">
      <c r="A180" s="7" t="s">
        <v>1030</v>
      </c>
      <c r="B180" s="6" t="s">
        <v>1031</v>
      </c>
      <c r="C180" s="6" t="s">
        <v>1032</v>
      </c>
      <c r="D180" s="7" t="s">
        <v>757</v>
      </c>
      <c r="E180" s="7" t="s">
        <v>801</v>
      </c>
      <c r="F180" s="12" t="s">
        <v>147</v>
      </c>
      <c r="G180" s="13" t="n">
        <v>45728</v>
      </c>
      <c r="H180" s="7" t="s">
        <v>1033</v>
      </c>
      <c r="I180" s="6" t="s">
        <v>149</v>
      </c>
      <c r="J180" s="7" t="s">
        <v>60</v>
      </c>
      <c r="K180" s="12"/>
      <c r="L180" s="10" t="s">
        <v>1034</v>
      </c>
      <c r="M180" s="7"/>
      <c r="N180" s="12"/>
      <c r="O180" s="12" t="str">
        <f aca="false">IF($M180="","",IF(COUNTIFS('QC listings'!$A$5:$A$200,$M180,'QC listings'!$C$5:$C$200,O$4,'QC listings'!$F$5:$F$200,"Listing page")+COUNTIFS('QC listings'!$A$5:$A$200,$M180,'QC listings'!$C$5:$C$200,O$4,'QC listings'!$F$5:$F$200,"Brand page")&gt;0,"Y",IF(COUNTIFS('QC listings'!$A$5:$A$200,$M180,'QC listings'!$C$5:$C$200,O$4)&gt;0,"?","–")))</f>
        <v/>
      </c>
      <c r="P180" s="12" t="str">
        <f aca="false">IF($M180="","",IF(COUNTIFS('QC listings'!$A$5:$A$200,$M180,'QC listings'!$C$5:$C$200,P$4,'QC listings'!$F$5:$F$200,"Listing page")+COUNTIFS('QC listings'!$A$5:$A$200,$M180,'QC listings'!$C$5:$C$200,P$4,'QC listings'!$F$5:$F$200,"Brand page")&gt;0,"Y",IF(COUNTIFS('QC listings'!$A$5:$A$200,$M180,'QC listings'!$C$5:$C$200,P$4)&gt;0,"?","–")))</f>
        <v/>
      </c>
      <c r="Q180" s="12" t="str">
        <f aca="false">IF($M180="","",IF(COUNTIFS('QC listings'!$A$5:$A$200,$M180,'QC listings'!$C$5:$C$200,Q$4,'QC listings'!$F$5:$F$200,"Listing page")+COUNTIFS('QC listings'!$A$5:$A$200,$M180,'QC listings'!$C$5:$C$200,Q$4,'QC listings'!$F$5:$F$200,"Brand page")&gt;0,"Y",IF(COUNTIFS('QC listings'!$A$5:$A$200,$M180,'QC listings'!$C$5:$C$200,Q$4)&gt;0,"?","–")))</f>
        <v/>
      </c>
      <c r="R180" s="12" t="str">
        <f aca="false">IF($M180="","",IF(COUNTIFS('QC listings'!$A$5:$A$200,$M180,'QC listings'!$C$5:$C$200,R$4,'QC listings'!$F$5:$F$200,"Listing page")+COUNTIFS('QC listings'!$A$5:$A$200,$M180,'QC listings'!$C$5:$C$200,R$4,'QC listings'!$F$5:$F$200,"Brand page")&gt;0,"Y",IF(COUNTIFS('QC listings'!$A$5:$A$200,$M180,'QC listings'!$C$5:$C$200,R$4)&gt;0,"?","–")))</f>
        <v/>
      </c>
      <c r="S180" s="12" t="str">
        <f aca="false">IF($M180="","",COUNTIF(O180:R180,"Y"))</f>
        <v/>
      </c>
      <c r="T180" s="23" t="str">
        <f aca="false">IF($M180="","",SUMPRODUCT(MAX(('QC listings'!$A$5:$A$200=$M180)*'QC listings'!$E$5:$E$200)))</f>
        <v/>
      </c>
      <c r="U180" s="12" t="str">
        <f aca="false">IF($M180="","",IF(T180&gt;=Scoring!$B$11,3,IF(T180&gt;=Scoring!$B$10,2,IF(T180&gt;=Scoring!$B$9,1,0))))</f>
        <v/>
      </c>
      <c r="V180" s="12" t="n">
        <f aca="false">IFERROR(INDEX(Scoring!$B$27:$B$56,MATCH($E180,Scoring!$A$27:$A$56,0)),0)</f>
        <v>0</v>
      </c>
      <c r="W180" s="24" t="n">
        <f aca="false">IF($G180="","",ROUND((Scoring!$B$5-$G180)/30.4375,1))</f>
        <v>18.7</v>
      </c>
      <c r="X180" s="12" t="n">
        <f aca="false">IF($F180="Expired",Scoring!$B$18,IF($G180="",Scoring!$B$17,IF(W180&lt;=Scoring!$B$12,Scoring!$B$13,IF(W180&lt;=Scoring!$B$14,Scoring!$B$15,Scoring!$B$16))))</f>
        <v>1</v>
      </c>
      <c r="Y180" s="15" t="str">
        <f aca="false">IF($M180="","",ROUND((S180*Scoring!$B$6+U180*Scoring!$B$7)*IFERROR(INDEX(Scoring!$B$22:$B$24,MATCH($N180,Scoring!$A$22:$A$24,0)),1)+V180*Scoring!$B$8+X180,2))</f>
        <v/>
      </c>
      <c r="Z180" s="12" t="str">
        <f aca="false">IF($M180="","",IF(SUMPRODUCT(($M$5:$M$249=$M180)*($G$5:$G$249&gt;$G180))&gt;0,0,IF(SUMPRODUCT(($M$5:$M$249=$M180)*($G$5:$G$249=$G180)*(ROW($M$5:$M$249)&lt;ROW($M180)))&gt;0,0,1)))</f>
        <v/>
      </c>
      <c r="AA180" s="12" t="str">
        <f aca="false">IF($Z180=1,RANK($AE180,$AE$5:$AE$249,0),"")</f>
        <v/>
      </c>
      <c r="AB180" s="7" t="s">
        <v>153</v>
      </c>
      <c r="AC180" s="6" t="s">
        <v>154</v>
      </c>
      <c r="AD180" s="6"/>
      <c r="AE180" s="25" t="str">
        <f aca="false">IF($Z180=1,$Y180+$T180/1000000000-ROW()/10000000,"")</f>
        <v/>
      </c>
    </row>
    <row r="181" customFormat="false" ht="23.85" hidden="false" customHeight="false" outlineLevel="0" collapsed="false">
      <c r="A181" s="7" t="s">
        <v>1035</v>
      </c>
      <c r="B181" s="6" t="s">
        <v>1036</v>
      </c>
      <c r="C181" s="6" t="s">
        <v>1037</v>
      </c>
      <c r="D181" s="7" t="s">
        <v>757</v>
      </c>
      <c r="E181" s="7" t="s">
        <v>801</v>
      </c>
      <c r="F181" s="12" t="s">
        <v>158</v>
      </c>
      <c r="G181" s="13" t="n">
        <v>45913</v>
      </c>
      <c r="H181" s="7" t="s">
        <v>1038</v>
      </c>
      <c r="I181" s="6" t="s">
        <v>149</v>
      </c>
      <c r="J181" s="7" t="s">
        <v>60</v>
      </c>
      <c r="K181" s="12"/>
      <c r="L181" s="10" t="s">
        <v>1039</v>
      </c>
      <c r="M181" s="7"/>
      <c r="N181" s="12"/>
      <c r="O181" s="12" t="str">
        <f aca="false">IF($M181="","",IF(COUNTIFS('QC listings'!$A$5:$A$200,$M181,'QC listings'!$C$5:$C$200,O$4,'QC listings'!$F$5:$F$200,"Listing page")+COUNTIFS('QC listings'!$A$5:$A$200,$M181,'QC listings'!$C$5:$C$200,O$4,'QC listings'!$F$5:$F$200,"Brand page")&gt;0,"Y",IF(COUNTIFS('QC listings'!$A$5:$A$200,$M181,'QC listings'!$C$5:$C$200,O$4)&gt;0,"?","–")))</f>
        <v/>
      </c>
      <c r="P181" s="12" t="str">
        <f aca="false">IF($M181="","",IF(COUNTIFS('QC listings'!$A$5:$A$200,$M181,'QC listings'!$C$5:$C$200,P$4,'QC listings'!$F$5:$F$200,"Listing page")+COUNTIFS('QC listings'!$A$5:$A$200,$M181,'QC listings'!$C$5:$C$200,P$4,'QC listings'!$F$5:$F$200,"Brand page")&gt;0,"Y",IF(COUNTIFS('QC listings'!$A$5:$A$200,$M181,'QC listings'!$C$5:$C$200,P$4)&gt;0,"?","–")))</f>
        <v/>
      </c>
      <c r="Q181" s="12" t="str">
        <f aca="false">IF($M181="","",IF(COUNTIFS('QC listings'!$A$5:$A$200,$M181,'QC listings'!$C$5:$C$200,Q$4,'QC listings'!$F$5:$F$200,"Listing page")+COUNTIFS('QC listings'!$A$5:$A$200,$M181,'QC listings'!$C$5:$C$200,Q$4,'QC listings'!$F$5:$F$200,"Brand page")&gt;0,"Y",IF(COUNTIFS('QC listings'!$A$5:$A$200,$M181,'QC listings'!$C$5:$C$200,Q$4)&gt;0,"?","–")))</f>
        <v/>
      </c>
      <c r="R181" s="12" t="str">
        <f aca="false">IF($M181="","",IF(COUNTIFS('QC listings'!$A$5:$A$200,$M181,'QC listings'!$C$5:$C$200,R$4,'QC listings'!$F$5:$F$200,"Listing page")+COUNTIFS('QC listings'!$A$5:$A$200,$M181,'QC listings'!$C$5:$C$200,R$4,'QC listings'!$F$5:$F$200,"Brand page")&gt;0,"Y",IF(COUNTIFS('QC listings'!$A$5:$A$200,$M181,'QC listings'!$C$5:$C$200,R$4)&gt;0,"?","–")))</f>
        <v/>
      </c>
      <c r="S181" s="12" t="str">
        <f aca="false">IF($M181="","",COUNTIF(O181:R181,"Y"))</f>
        <v/>
      </c>
      <c r="T181" s="23" t="str">
        <f aca="false">IF($M181="","",SUMPRODUCT(MAX(('QC listings'!$A$5:$A$200=$M181)*'QC listings'!$E$5:$E$200)))</f>
        <v/>
      </c>
      <c r="U181" s="12" t="str">
        <f aca="false">IF($M181="","",IF(T181&gt;=Scoring!$B$11,3,IF(T181&gt;=Scoring!$B$10,2,IF(T181&gt;=Scoring!$B$9,1,0))))</f>
        <v/>
      </c>
      <c r="V181" s="12" t="n">
        <f aca="false">IFERROR(INDEX(Scoring!$B$27:$B$56,MATCH($E181,Scoring!$A$27:$A$56,0)),0)</f>
        <v>0</v>
      </c>
      <c r="W181" s="24" t="n">
        <f aca="false">IF($G181="","",ROUND((Scoring!$B$5-$G181)/30.4375,1))</f>
        <v>12.6</v>
      </c>
      <c r="X181" s="12" t="n">
        <f aca="false">IF($F181="Expired",Scoring!$B$18,IF($G181="",Scoring!$B$17,IF(W181&lt;=Scoring!$B$12,Scoring!$B$13,IF(W181&lt;=Scoring!$B$14,Scoring!$B$15,Scoring!$B$16))))</f>
        <v>1</v>
      </c>
      <c r="Y181" s="15" t="str">
        <f aca="false">IF($M181="","",ROUND((S181*Scoring!$B$6+U181*Scoring!$B$7)*IFERROR(INDEX(Scoring!$B$22:$B$24,MATCH($N181,Scoring!$A$22:$A$24,0)),1)+V181*Scoring!$B$8+X181,2))</f>
        <v/>
      </c>
      <c r="Z181" s="12" t="str">
        <f aca="false">IF($M181="","",IF(SUMPRODUCT(($M$5:$M$249=$M181)*($G$5:$G$249&gt;$G181))&gt;0,0,IF(SUMPRODUCT(($M$5:$M$249=$M181)*($G$5:$G$249=$G181)*(ROW($M$5:$M$249)&lt;ROW($M181)))&gt;0,0,1)))</f>
        <v/>
      </c>
      <c r="AA181" s="12" t="str">
        <f aca="false">IF($Z181=1,RANK($AE181,$AE$5:$AE$249,0),"")</f>
        <v/>
      </c>
      <c r="AB181" s="7" t="s">
        <v>153</v>
      </c>
      <c r="AC181" s="6" t="s">
        <v>162</v>
      </c>
      <c r="AD181" s="6" t="s">
        <v>1040</v>
      </c>
      <c r="AE181" s="25" t="str">
        <f aca="false">IF($Z181=1,$Y181+$T181/1000000000-ROW()/10000000,"")</f>
        <v/>
      </c>
    </row>
    <row r="182" customFormat="false" ht="23.85" hidden="false" customHeight="false" outlineLevel="0" collapsed="false">
      <c r="A182" s="7" t="s">
        <v>1041</v>
      </c>
      <c r="B182" s="6" t="s">
        <v>1036</v>
      </c>
      <c r="C182" s="6" t="s">
        <v>1037</v>
      </c>
      <c r="D182" s="7" t="s">
        <v>757</v>
      </c>
      <c r="E182" s="7" t="s">
        <v>801</v>
      </c>
      <c r="F182" s="12" t="s">
        <v>158</v>
      </c>
      <c r="G182" s="13" t="n">
        <v>45823</v>
      </c>
      <c r="H182" s="7" t="s">
        <v>1042</v>
      </c>
      <c r="I182" s="6" t="s">
        <v>149</v>
      </c>
      <c r="J182" s="7" t="s">
        <v>60</v>
      </c>
      <c r="K182" s="12"/>
      <c r="L182" s="10" t="s">
        <v>1043</v>
      </c>
      <c r="M182" s="7"/>
      <c r="N182" s="12"/>
      <c r="O182" s="12" t="str">
        <f aca="false">IF($M182="","",IF(COUNTIFS('QC listings'!$A$5:$A$200,$M182,'QC listings'!$C$5:$C$200,O$4,'QC listings'!$F$5:$F$200,"Listing page")+COUNTIFS('QC listings'!$A$5:$A$200,$M182,'QC listings'!$C$5:$C$200,O$4,'QC listings'!$F$5:$F$200,"Brand page")&gt;0,"Y",IF(COUNTIFS('QC listings'!$A$5:$A$200,$M182,'QC listings'!$C$5:$C$200,O$4)&gt;0,"?","–")))</f>
        <v/>
      </c>
      <c r="P182" s="12" t="str">
        <f aca="false">IF($M182="","",IF(COUNTIFS('QC listings'!$A$5:$A$200,$M182,'QC listings'!$C$5:$C$200,P$4,'QC listings'!$F$5:$F$200,"Listing page")+COUNTIFS('QC listings'!$A$5:$A$200,$M182,'QC listings'!$C$5:$C$200,P$4,'QC listings'!$F$5:$F$200,"Brand page")&gt;0,"Y",IF(COUNTIFS('QC listings'!$A$5:$A$200,$M182,'QC listings'!$C$5:$C$200,P$4)&gt;0,"?","–")))</f>
        <v/>
      </c>
      <c r="Q182" s="12" t="str">
        <f aca="false">IF($M182="","",IF(COUNTIFS('QC listings'!$A$5:$A$200,$M182,'QC listings'!$C$5:$C$200,Q$4,'QC listings'!$F$5:$F$200,"Listing page")+COUNTIFS('QC listings'!$A$5:$A$200,$M182,'QC listings'!$C$5:$C$200,Q$4,'QC listings'!$F$5:$F$200,"Brand page")&gt;0,"Y",IF(COUNTIFS('QC listings'!$A$5:$A$200,$M182,'QC listings'!$C$5:$C$200,Q$4)&gt;0,"?","–")))</f>
        <v/>
      </c>
      <c r="R182" s="12" t="str">
        <f aca="false">IF($M182="","",IF(COUNTIFS('QC listings'!$A$5:$A$200,$M182,'QC listings'!$C$5:$C$200,R$4,'QC listings'!$F$5:$F$200,"Listing page")+COUNTIFS('QC listings'!$A$5:$A$200,$M182,'QC listings'!$C$5:$C$200,R$4,'QC listings'!$F$5:$F$200,"Brand page")&gt;0,"Y",IF(COUNTIFS('QC listings'!$A$5:$A$200,$M182,'QC listings'!$C$5:$C$200,R$4)&gt;0,"?","–")))</f>
        <v/>
      </c>
      <c r="S182" s="12" t="str">
        <f aca="false">IF($M182="","",COUNTIF(O182:R182,"Y"))</f>
        <v/>
      </c>
      <c r="T182" s="23" t="str">
        <f aca="false">IF($M182="","",SUMPRODUCT(MAX(('QC listings'!$A$5:$A$200=$M182)*'QC listings'!$E$5:$E$200)))</f>
        <v/>
      </c>
      <c r="U182" s="12" t="str">
        <f aca="false">IF($M182="","",IF(T182&gt;=Scoring!$B$11,3,IF(T182&gt;=Scoring!$B$10,2,IF(T182&gt;=Scoring!$B$9,1,0))))</f>
        <v/>
      </c>
      <c r="V182" s="12" t="n">
        <f aca="false">IFERROR(INDEX(Scoring!$B$27:$B$56,MATCH($E182,Scoring!$A$27:$A$56,0)),0)</f>
        <v>0</v>
      </c>
      <c r="W182" s="24" t="n">
        <f aca="false">IF($G182="","",ROUND((Scoring!$B$5-$G182)/30.4375,1))</f>
        <v>15.6</v>
      </c>
      <c r="X182" s="12" t="n">
        <f aca="false">IF($F182="Expired",Scoring!$B$18,IF($G182="",Scoring!$B$17,IF(W182&lt;=Scoring!$B$12,Scoring!$B$13,IF(W182&lt;=Scoring!$B$14,Scoring!$B$15,Scoring!$B$16))))</f>
        <v>1</v>
      </c>
      <c r="Y182" s="15" t="str">
        <f aca="false">IF($M182="","",ROUND((S182*Scoring!$B$6+U182*Scoring!$B$7)*IFERROR(INDEX(Scoring!$B$22:$B$24,MATCH($N182,Scoring!$A$22:$A$24,0)),1)+V182*Scoring!$B$8+X182,2))</f>
        <v/>
      </c>
      <c r="Z182" s="12" t="str">
        <f aca="false">IF($M182="","",IF(SUMPRODUCT(($M$5:$M$249=$M182)*($G$5:$G$249&gt;$G182))&gt;0,0,IF(SUMPRODUCT(($M$5:$M$249=$M182)*($G$5:$G$249=$G182)*(ROW($M$5:$M$249)&lt;ROW($M182)))&gt;0,0,1)))</f>
        <v/>
      </c>
      <c r="AA182" s="12" t="str">
        <f aca="false">IF($Z182=1,RANK($AE182,$AE$5:$AE$249,0),"")</f>
        <v/>
      </c>
      <c r="AB182" s="7" t="s">
        <v>153</v>
      </c>
      <c r="AC182" s="6" t="s">
        <v>162</v>
      </c>
      <c r="AD182" s="6" t="s">
        <v>1040</v>
      </c>
      <c r="AE182" s="25" t="str">
        <f aca="false">IF($Z182=1,$Y182+$T182/1000000000-ROW()/10000000,"")</f>
        <v/>
      </c>
    </row>
    <row r="183" customFormat="false" ht="23.85" hidden="false" customHeight="false" outlineLevel="0" collapsed="false">
      <c r="A183" s="7" t="s">
        <v>1044</v>
      </c>
      <c r="B183" s="6" t="s">
        <v>1045</v>
      </c>
      <c r="C183" s="6" t="s">
        <v>1046</v>
      </c>
      <c r="D183" s="7" t="s">
        <v>757</v>
      </c>
      <c r="E183" s="7" t="s">
        <v>801</v>
      </c>
      <c r="F183" s="12" t="s">
        <v>158</v>
      </c>
      <c r="G183" s="13" t="n">
        <v>45733</v>
      </c>
      <c r="H183" s="7" t="s">
        <v>1047</v>
      </c>
      <c r="I183" s="6" t="s">
        <v>149</v>
      </c>
      <c r="J183" s="7" t="s">
        <v>60</v>
      </c>
      <c r="K183" s="12"/>
      <c r="L183" s="10" t="s">
        <v>1048</v>
      </c>
      <c r="M183" s="7"/>
      <c r="N183" s="12"/>
      <c r="O183" s="12" t="str">
        <f aca="false">IF($M183="","",IF(COUNTIFS('QC listings'!$A$5:$A$200,$M183,'QC listings'!$C$5:$C$200,O$4,'QC listings'!$F$5:$F$200,"Listing page")+COUNTIFS('QC listings'!$A$5:$A$200,$M183,'QC listings'!$C$5:$C$200,O$4,'QC listings'!$F$5:$F$200,"Brand page")&gt;0,"Y",IF(COUNTIFS('QC listings'!$A$5:$A$200,$M183,'QC listings'!$C$5:$C$200,O$4)&gt;0,"?","–")))</f>
        <v/>
      </c>
      <c r="P183" s="12" t="str">
        <f aca="false">IF($M183="","",IF(COUNTIFS('QC listings'!$A$5:$A$200,$M183,'QC listings'!$C$5:$C$200,P$4,'QC listings'!$F$5:$F$200,"Listing page")+COUNTIFS('QC listings'!$A$5:$A$200,$M183,'QC listings'!$C$5:$C$200,P$4,'QC listings'!$F$5:$F$200,"Brand page")&gt;0,"Y",IF(COUNTIFS('QC listings'!$A$5:$A$200,$M183,'QC listings'!$C$5:$C$200,P$4)&gt;0,"?","–")))</f>
        <v/>
      </c>
      <c r="Q183" s="12" t="str">
        <f aca="false">IF($M183="","",IF(COUNTIFS('QC listings'!$A$5:$A$200,$M183,'QC listings'!$C$5:$C$200,Q$4,'QC listings'!$F$5:$F$200,"Listing page")+COUNTIFS('QC listings'!$A$5:$A$200,$M183,'QC listings'!$C$5:$C$200,Q$4,'QC listings'!$F$5:$F$200,"Brand page")&gt;0,"Y",IF(COUNTIFS('QC listings'!$A$5:$A$200,$M183,'QC listings'!$C$5:$C$200,Q$4)&gt;0,"?","–")))</f>
        <v/>
      </c>
      <c r="R183" s="12" t="str">
        <f aca="false">IF($M183="","",IF(COUNTIFS('QC listings'!$A$5:$A$200,$M183,'QC listings'!$C$5:$C$200,R$4,'QC listings'!$F$5:$F$200,"Listing page")+COUNTIFS('QC listings'!$A$5:$A$200,$M183,'QC listings'!$C$5:$C$200,R$4,'QC listings'!$F$5:$F$200,"Brand page")&gt;0,"Y",IF(COUNTIFS('QC listings'!$A$5:$A$200,$M183,'QC listings'!$C$5:$C$200,R$4)&gt;0,"?","–")))</f>
        <v/>
      </c>
      <c r="S183" s="12" t="str">
        <f aca="false">IF($M183="","",COUNTIF(O183:R183,"Y"))</f>
        <v/>
      </c>
      <c r="T183" s="23" t="str">
        <f aca="false">IF($M183="","",SUMPRODUCT(MAX(('QC listings'!$A$5:$A$200=$M183)*'QC listings'!$E$5:$E$200)))</f>
        <v/>
      </c>
      <c r="U183" s="12" t="str">
        <f aca="false">IF($M183="","",IF(T183&gt;=Scoring!$B$11,3,IF(T183&gt;=Scoring!$B$10,2,IF(T183&gt;=Scoring!$B$9,1,0))))</f>
        <v/>
      </c>
      <c r="V183" s="12" t="n">
        <f aca="false">IFERROR(INDEX(Scoring!$B$27:$B$56,MATCH($E183,Scoring!$A$27:$A$56,0)),0)</f>
        <v>0</v>
      </c>
      <c r="W183" s="24" t="n">
        <f aca="false">IF($G183="","",ROUND((Scoring!$B$5-$G183)/30.4375,1))</f>
        <v>18.5</v>
      </c>
      <c r="X183" s="12" t="n">
        <f aca="false">IF($F183="Expired",Scoring!$B$18,IF($G183="",Scoring!$B$17,IF(W183&lt;=Scoring!$B$12,Scoring!$B$13,IF(W183&lt;=Scoring!$B$14,Scoring!$B$15,Scoring!$B$16))))</f>
        <v>1</v>
      </c>
      <c r="Y183" s="15" t="str">
        <f aca="false">IF($M183="","",ROUND((S183*Scoring!$B$6+U183*Scoring!$B$7)*IFERROR(INDEX(Scoring!$B$22:$B$24,MATCH($N183,Scoring!$A$22:$A$24,0)),1)+V183*Scoring!$B$8+X183,2))</f>
        <v/>
      </c>
      <c r="Z183" s="12" t="str">
        <f aca="false">IF($M183="","",IF(SUMPRODUCT(($M$5:$M$249=$M183)*($G$5:$G$249&gt;$G183))&gt;0,0,IF(SUMPRODUCT(($M$5:$M$249=$M183)*($G$5:$G$249=$G183)*(ROW($M$5:$M$249)&lt;ROW($M183)))&gt;0,0,1)))</f>
        <v/>
      </c>
      <c r="AA183" s="12" t="str">
        <f aca="false">IF($Z183=1,RANK($AE183,$AE$5:$AE$249,0),"")</f>
        <v/>
      </c>
      <c r="AB183" s="7" t="s">
        <v>153</v>
      </c>
      <c r="AC183" s="6" t="s">
        <v>162</v>
      </c>
      <c r="AD183" s="6"/>
      <c r="AE183" s="25" t="str">
        <f aca="false">IF($Z183=1,$Y183+$T183/1000000000-ROW()/10000000,"")</f>
        <v/>
      </c>
    </row>
    <row r="184" customFormat="false" ht="23.85" hidden="false" customHeight="false" outlineLevel="0" collapsed="false">
      <c r="A184" s="7" t="s">
        <v>1049</v>
      </c>
      <c r="B184" s="6" t="s">
        <v>1050</v>
      </c>
      <c r="C184" s="6" t="s">
        <v>1051</v>
      </c>
      <c r="D184" s="7" t="s">
        <v>757</v>
      </c>
      <c r="E184" s="7" t="s">
        <v>801</v>
      </c>
      <c r="F184" s="12" t="s">
        <v>549</v>
      </c>
      <c r="G184" s="13" t="n">
        <v>45807</v>
      </c>
      <c r="H184" s="7" t="s">
        <v>1052</v>
      </c>
      <c r="I184" s="6" t="s">
        <v>149</v>
      </c>
      <c r="J184" s="7" t="s">
        <v>60</v>
      </c>
      <c r="K184" s="12"/>
      <c r="L184" s="10" t="s">
        <v>1053</v>
      </c>
      <c r="M184" s="7"/>
      <c r="N184" s="12"/>
      <c r="O184" s="12" t="str">
        <f aca="false">IF($M184="","",IF(COUNTIFS('QC listings'!$A$5:$A$200,$M184,'QC listings'!$C$5:$C$200,O$4,'QC listings'!$F$5:$F$200,"Listing page")+COUNTIFS('QC listings'!$A$5:$A$200,$M184,'QC listings'!$C$5:$C$200,O$4,'QC listings'!$F$5:$F$200,"Brand page")&gt;0,"Y",IF(COUNTIFS('QC listings'!$A$5:$A$200,$M184,'QC listings'!$C$5:$C$200,O$4)&gt;0,"?","–")))</f>
        <v/>
      </c>
      <c r="P184" s="12" t="str">
        <f aca="false">IF($M184="","",IF(COUNTIFS('QC listings'!$A$5:$A$200,$M184,'QC listings'!$C$5:$C$200,P$4,'QC listings'!$F$5:$F$200,"Listing page")+COUNTIFS('QC listings'!$A$5:$A$200,$M184,'QC listings'!$C$5:$C$200,P$4,'QC listings'!$F$5:$F$200,"Brand page")&gt;0,"Y",IF(COUNTIFS('QC listings'!$A$5:$A$200,$M184,'QC listings'!$C$5:$C$200,P$4)&gt;0,"?","–")))</f>
        <v/>
      </c>
      <c r="Q184" s="12" t="str">
        <f aca="false">IF($M184="","",IF(COUNTIFS('QC listings'!$A$5:$A$200,$M184,'QC listings'!$C$5:$C$200,Q$4,'QC listings'!$F$5:$F$200,"Listing page")+COUNTIFS('QC listings'!$A$5:$A$200,$M184,'QC listings'!$C$5:$C$200,Q$4,'QC listings'!$F$5:$F$200,"Brand page")&gt;0,"Y",IF(COUNTIFS('QC listings'!$A$5:$A$200,$M184,'QC listings'!$C$5:$C$200,Q$4)&gt;0,"?","–")))</f>
        <v/>
      </c>
      <c r="R184" s="12" t="str">
        <f aca="false">IF($M184="","",IF(COUNTIFS('QC listings'!$A$5:$A$200,$M184,'QC listings'!$C$5:$C$200,R$4,'QC listings'!$F$5:$F$200,"Listing page")+COUNTIFS('QC listings'!$A$5:$A$200,$M184,'QC listings'!$C$5:$C$200,R$4,'QC listings'!$F$5:$F$200,"Brand page")&gt;0,"Y",IF(COUNTIFS('QC listings'!$A$5:$A$200,$M184,'QC listings'!$C$5:$C$200,R$4)&gt;0,"?","–")))</f>
        <v/>
      </c>
      <c r="S184" s="12" t="str">
        <f aca="false">IF($M184="","",COUNTIF(O184:R184,"Y"))</f>
        <v/>
      </c>
      <c r="T184" s="23" t="str">
        <f aca="false">IF($M184="","",SUMPRODUCT(MAX(('QC listings'!$A$5:$A$200=$M184)*'QC listings'!$E$5:$E$200)))</f>
        <v/>
      </c>
      <c r="U184" s="12" t="str">
        <f aca="false">IF($M184="","",IF(T184&gt;=Scoring!$B$11,3,IF(T184&gt;=Scoring!$B$10,2,IF(T184&gt;=Scoring!$B$9,1,0))))</f>
        <v/>
      </c>
      <c r="V184" s="12" t="n">
        <f aca="false">IFERROR(INDEX(Scoring!$B$27:$B$56,MATCH($E184,Scoring!$A$27:$A$56,0)),0)</f>
        <v>0</v>
      </c>
      <c r="W184" s="24" t="n">
        <f aca="false">IF($G184="","",ROUND((Scoring!$B$5-$G184)/30.4375,1))</f>
        <v>16.1</v>
      </c>
      <c r="X184" s="12" t="n">
        <f aca="false">IF($F184="Expired",Scoring!$B$18,IF($G184="",Scoring!$B$17,IF(W184&lt;=Scoring!$B$12,Scoring!$B$13,IF(W184&lt;=Scoring!$B$14,Scoring!$B$15,Scoring!$B$16))))</f>
        <v>0</v>
      </c>
      <c r="Y184" s="15" t="str">
        <f aca="false">IF($M184="","",ROUND((S184*Scoring!$B$6+U184*Scoring!$B$7)*IFERROR(INDEX(Scoring!$B$22:$B$24,MATCH($N184,Scoring!$A$22:$A$24,0)),1)+V184*Scoring!$B$8+X184,2))</f>
        <v/>
      </c>
      <c r="Z184" s="12" t="str">
        <f aca="false">IF($M184="","",IF(SUMPRODUCT(($M$5:$M$249=$M184)*($G$5:$G$249&gt;$G184))&gt;0,0,IF(SUMPRODUCT(($M$5:$M$249=$M184)*($G$5:$G$249=$G184)*(ROW($M$5:$M$249)&lt;ROW($M184)))&gt;0,0,1)))</f>
        <v/>
      </c>
      <c r="AA184" s="12" t="str">
        <f aca="false">IF($Z184=1,RANK($AE184,$AE$5:$AE$249,0),"")</f>
        <v/>
      </c>
      <c r="AB184" s="7" t="s">
        <v>153</v>
      </c>
      <c r="AC184" s="6" t="s">
        <v>642</v>
      </c>
      <c r="AD184" s="6"/>
      <c r="AE184" s="25" t="str">
        <f aca="false">IF($Z184=1,$Y184+$T184/1000000000-ROW()/10000000,"")</f>
        <v/>
      </c>
    </row>
    <row r="185" customFormat="false" ht="23.85" hidden="false" customHeight="false" outlineLevel="0" collapsed="false">
      <c r="A185" s="7" t="s">
        <v>1054</v>
      </c>
      <c r="B185" s="6" t="s">
        <v>1050</v>
      </c>
      <c r="C185" s="6" t="s">
        <v>1055</v>
      </c>
      <c r="D185" s="7" t="s">
        <v>757</v>
      </c>
      <c r="E185" s="7" t="s">
        <v>801</v>
      </c>
      <c r="F185" s="12" t="s">
        <v>549</v>
      </c>
      <c r="G185" s="13" t="n">
        <v>45784</v>
      </c>
      <c r="H185" s="7" t="s">
        <v>1056</v>
      </c>
      <c r="I185" s="6" t="s">
        <v>149</v>
      </c>
      <c r="J185" s="7" t="s">
        <v>60</v>
      </c>
      <c r="K185" s="12"/>
      <c r="L185" s="10" t="s">
        <v>1057</v>
      </c>
      <c r="M185" s="7"/>
      <c r="N185" s="12"/>
      <c r="O185" s="12" t="str">
        <f aca="false">IF($M185="","",IF(COUNTIFS('QC listings'!$A$5:$A$200,$M185,'QC listings'!$C$5:$C$200,O$4,'QC listings'!$F$5:$F$200,"Listing page")+COUNTIFS('QC listings'!$A$5:$A$200,$M185,'QC listings'!$C$5:$C$200,O$4,'QC listings'!$F$5:$F$200,"Brand page")&gt;0,"Y",IF(COUNTIFS('QC listings'!$A$5:$A$200,$M185,'QC listings'!$C$5:$C$200,O$4)&gt;0,"?","–")))</f>
        <v/>
      </c>
      <c r="P185" s="12" t="str">
        <f aca="false">IF($M185="","",IF(COUNTIFS('QC listings'!$A$5:$A$200,$M185,'QC listings'!$C$5:$C$200,P$4,'QC listings'!$F$5:$F$200,"Listing page")+COUNTIFS('QC listings'!$A$5:$A$200,$M185,'QC listings'!$C$5:$C$200,P$4,'QC listings'!$F$5:$F$200,"Brand page")&gt;0,"Y",IF(COUNTIFS('QC listings'!$A$5:$A$200,$M185,'QC listings'!$C$5:$C$200,P$4)&gt;0,"?","–")))</f>
        <v/>
      </c>
      <c r="Q185" s="12" t="str">
        <f aca="false">IF($M185="","",IF(COUNTIFS('QC listings'!$A$5:$A$200,$M185,'QC listings'!$C$5:$C$200,Q$4,'QC listings'!$F$5:$F$200,"Listing page")+COUNTIFS('QC listings'!$A$5:$A$200,$M185,'QC listings'!$C$5:$C$200,Q$4,'QC listings'!$F$5:$F$200,"Brand page")&gt;0,"Y",IF(COUNTIFS('QC listings'!$A$5:$A$200,$M185,'QC listings'!$C$5:$C$200,Q$4)&gt;0,"?","–")))</f>
        <v/>
      </c>
      <c r="R185" s="12" t="str">
        <f aca="false">IF($M185="","",IF(COUNTIFS('QC listings'!$A$5:$A$200,$M185,'QC listings'!$C$5:$C$200,R$4,'QC listings'!$F$5:$F$200,"Listing page")+COUNTIFS('QC listings'!$A$5:$A$200,$M185,'QC listings'!$C$5:$C$200,R$4,'QC listings'!$F$5:$F$200,"Brand page")&gt;0,"Y",IF(COUNTIFS('QC listings'!$A$5:$A$200,$M185,'QC listings'!$C$5:$C$200,R$4)&gt;0,"?","–")))</f>
        <v/>
      </c>
      <c r="S185" s="12" t="str">
        <f aca="false">IF($M185="","",COUNTIF(O185:R185,"Y"))</f>
        <v/>
      </c>
      <c r="T185" s="23" t="str">
        <f aca="false">IF($M185="","",SUMPRODUCT(MAX(('QC listings'!$A$5:$A$200=$M185)*'QC listings'!$E$5:$E$200)))</f>
        <v/>
      </c>
      <c r="U185" s="12" t="str">
        <f aca="false">IF($M185="","",IF(T185&gt;=Scoring!$B$11,3,IF(T185&gt;=Scoring!$B$10,2,IF(T185&gt;=Scoring!$B$9,1,0))))</f>
        <v/>
      </c>
      <c r="V185" s="12" t="n">
        <f aca="false">IFERROR(INDEX(Scoring!$B$27:$B$56,MATCH($E185,Scoring!$A$27:$A$56,0)),0)</f>
        <v>0</v>
      </c>
      <c r="W185" s="24" t="n">
        <f aca="false">IF($G185="","",ROUND((Scoring!$B$5-$G185)/30.4375,1))</f>
        <v>16.9</v>
      </c>
      <c r="X185" s="12" t="n">
        <f aca="false">IF($F185="Expired",Scoring!$B$18,IF($G185="",Scoring!$B$17,IF(W185&lt;=Scoring!$B$12,Scoring!$B$13,IF(W185&lt;=Scoring!$B$14,Scoring!$B$15,Scoring!$B$16))))</f>
        <v>0</v>
      </c>
      <c r="Y185" s="15" t="str">
        <f aca="false">IF($M185="","",ROUND((S185*Scoring!$B$6+U185*Scoring!$B$7)*IFERROR(INDEX(Scoring!$B$22:$B$24,MATCH($N185,Scoring!$A$22:$A$24,0)),1)+V185*Scoring!$B$8+X185,2))</f>
        <v/>
      </c>
      <c r="Z185" s="12" t="str">
        <f aca="false">IF($M185="","",IF(SUMPRODUCT(($M$5:$M$249=$M185)*($G$5:$G$249&gt;$G185))&gt;0,0,IF(SUMPRODUCT(($M$5:$M$249=$M185)*($G$5:$G$249=$G185)*(ROW($M$5:$M$249)&lt;ROW($M185)))&gt;0,0,1)))</f>
        <v/>
      </c>
      <c r="AA185" s="12" t="str">
        <f aca="false">IF($Z185=1,RANK($AE185,$AE$5:$AE$249,0),"")</f>
        <v/>
      </c>
      <c r="AB185" s="7" t="s">
        <v>153</v>
      </c>
      <c r="AC185" s="6" t="s">
        <v>642</v>
      </c>
      <c r="AD185" s="6"/>
      <c r="AE185" s="25" t="str">
        <f aca="false">IF($Z185=1,$Y185+$T185/1000000000-ROW()/10000000,"")</f>
        <v/>
      </c>
    </row>
    <row r="186" customFormat="false" ht="23.85" hidden="false" customHeight="false" outlineLevel="0" collapsed="false">
      <c r="A186" s="7" t="s">
        <v>1058</v>
      </c>
      <c r="B186" s="6" t="s">
        <v>567</v>
      </c>
      <c r="C186" s="6" t="s">
        <v>1059</v>
      </c>
      <c r="D186" s="7" t="s">
        <v>757</v>
      </c>
      <c r="E186" s="7" t="s">
        <v>801</v>
      </c>
      <c r="F186" s="12" t="s">
        <v>549</v>
      </c>
      <c r="G186" s="13" t="n">
        <v>45770</v>
      </c>
      <c r="H186" s="7" t="s">
        <v>1060</v>
      </c>
      <c r="I186" s="6" t="s">
        <v>149</v>
      </c>
      <c r="J186" s="7" t="s">
        <v>60</v>
      </c>
      <c r="K186" s="12"/>
      <c r="L186" s="10" t="s">
        <v>1061</v>
      </c>
      <c r="M186" s="7"/>
      <c r="N186" s="12"/>
      <c r="O186" s="12" t="str">
        <f aca="false">IF($M186="","",IF(COUNTIFS('QC listings'!$A$5:$A$200,$M186,'QC listings'!$C$5:$C$200,O$4,'QC listings'!$F$5:$F$200,"Listing page")+COUNTIFS('QC listings'!$A$5:$A$200,$M186,'QC listings'!$C$5:$C$200,O$4,'QC listings'!$F$5:$F$200,"Brand page")&gt;0,"Y",IF(COUNTIFS('QC listings'!$A$5:$A$200,$M186,'QC listings'!$C$5:$C$200,O$4)&gt;0,"?","–")))</f>
        <v/>
      </c>
      <c r="P186" s="12" t="str">
        <f aca="false">IF($M186="","",IF(COUNTIFS('QC listings'!$A$5:$A$200,$M186,'QC listings'!$C$5:$C$200,P$4,'QC listings'!$F$5:$F$200,"Listing page")+COUNTIFS('QC listings'!$A$5:$A$200,$M186,'QC listings'!$C$5:$C$200,P$4,'QC listings'!$F$5:$F$200,"Brand page")&gt;0,"Y",IF(COUNTIFS('QC listings'!$A$5:$A$200,$M186,'QC listings'!$C$5:$C$200,P$4)&gt;0,"?","–")))</f>
        <v/>
      </c>
      <c r="Q186" s="12" t="str">
        <f aca="false">IF($M186="","",IF(COUNTIFS('QC listings'!$A$5:$A$200,$M186,'QC listings'!$C$5:$C$200,Q$4,'QC listings'!$F$5:$F$200,"Listing page")+COUNTIFS('QC listings'!$A$5:$A$200,$M186,'QC listings'!$C$5:$C$200,Q$4,'QC listings'!$F$5:$F$200,"Brand page")&gt;0,"Y",IF(COUNTIFS('QC listings'!$A$5:$A$200,$M186,'QC listings'!$C$5:$C$200,Q$4)&gt;0,"?","–")))</f>
        <v/>
      </c>
      <c r="R186" s="12" t="str">
        <f aca="false">IF($M186="","",IF(COUNTIFS('QC listings'!$A$5:$A$200,$M186,'QC listings'!$C$5:$C$200,R$4,'QC listings'!$F$5:$F$200,"Listing page")+COUNTIFS('QC listings'!$A$5:$A$200,$M186,'QC listings'!$C$5:$C$200,R$4,'QC listings'!$F$5:$F$200,"Brand page")&gt;0,"Y",IF(COUNTIFS('QC listings'!$A$5:$A$200,$M186,'QC listings'!$C$5:$C$200,R$4)&gt;0,"?","–")))</f>
        <v/>
      </c>
      <c r="S186" s="12" t="str">
        <f aca="false">IF($M186="","",COUNTIF(O186:R186,"Y"))</f>
        <v/>
      </c>
      <c r="T186" s="23" t="str">
        <f aca="false">IF($M186="","",SUMPRODUCT(MAX(('QC listings'!$A$5:$A$200=$M186)*'QC listings'!$E$5:$E$200)))</f>
        <v/>
      </c>
      <c r="U186" s="12" t="str">
        <f aca="false">IF($M186="","",IF(T186&gt;=Scoring!$B$11,3,IF(T186&gt;=Scoring!$B$10,2,IF(T186&gt;=Scoring!$B$9,1,0))))</f>
        <v/>
      </c>
      <c r="V186" s="12" t="n">
        <f aca="false">IFERROR(INDEX(Scoring!$B$27:$B$56,MATCH($E186,Scoring!$A$27:$A$56,0)),0)</f>
        <v>0</v>
      </c>
      <c r="W186" s="24" t="n">
        <f aca="false">IF($G186="","",ROUND((Scoring!$B$5-$G186)/30.4375,1))</f>
        <v>17.3</v>
      </c>
      <c r="X186" s="12" t="n">
        <f aca="false">IF($F186="Expired",Scoring!$B$18,IF($G186="",Scoring!$B$17,IF(W186&lt;=Scoring!$B$12,Scoring!$B$13,IF(W186&lt;=Scoring!$B$14,Scoring!$B$15,Scoring!$B$16))))</f>
        <v>0</v>
      </c>
      <c r="Y186" s="15" t="str">
        <f aca="false">IF($M186="","",ROUND((S186*Scoring!$B$6+U186*Scoring!$B$7)*IFERROR(INDEX(Scoring!$B$22:$B$24,MATCH($N186,Scoring!$A$22:$A$24,0)),1)+V186*Scoring!$B$8+X186,2))</f>
        <v/>
      </c>
      <c r="Z186" s="12" t="str">
        <f aca="false">IF($M186="","",IF(SUMPRODUCT(($M$5:$M$249=$M186)*($G$5:$G$249&gt;$G186))&gt;0,0,IF(SUMPRODUCT(($M$5:$M$249=$M186)*($G$5:$G$249=$G186)*(ROW($M$5:$M$249)&lt;ROW($M186)))&gt;0,0,1)))</f>
        <v/>
      </c>
      <c r="AA186" s="12" t="str">
        <f aca="false">IF($Z186=1,RANK($AE186,$AE$5:$AE$249,0),"")</f>
        <v/>
      </c>
      <c r="AB186" s="7" t="s">
        <v>153</v>
      </c>
      <c r="AC186" s="6" t="s">
        <v>642</v>
      </c>
      <c r="AD186" s="6"/>
      <c r="AE186" s="25" t="str">
        <f aca="false">IF($Z186=1,$Y186+$T186/1000000000-ROW()/10000000,"")</f>
        <v/>
      </c>
    </row>
    <row r="187" customFormat="false" ht="23.85" hidden="false" customHeight="false" outlineLevel="0" collapsed="false">
      <c r="A187" s="7" t="s">
        <v>1062</v>
      </c>
      <c r="B187" s="6" t="s">
        <v>471</v>
      </c>
      <c r="C187" s="6" t="s">
        <v>1063</v>
      </c>
      <c r="D187" s="7" t="s">
        <v>757</v>
      </c>
      <c r="E187" s="7" t="s">
        <v>1064</v>
      </c>
      <c r="F187" s="12" t="s">
        <v>158</v>
      </c>
      <c r="G187" s="13" t="n">
        <v>46186</v>
      </c>
      <c r="H187" s="7" t="s">
        <v>1065</v>
      </c>
      <c r="I187" s="6" t="s">
        <v>149</v>
      </c>
      <c r="J187" s="7" t="s">
        <v>60</v>
      </c>
      <c r="K187" s="12"/>
      <c r="L187" s="10" t="s">
        <v>1066</v>
      </c>
      <c r="M187" s="7"/>
      <c r="N187" s="12"/>
      <c r="O187" s="12" t="str">
        <f aca="false">IF($M187="","",IF(COUNTIFS('QC listings'!$A$5:$A$200,$M187,'QC listings'!$C$5:$C$200,O$4,'QC listings'!$F$5:$F$200,"Listing page")+COUNTIFS('QC listings'!$A$5:$A$200,$M187,'QC listings'!$C$5:$C$200,O$4,'QC listings'!$F$5:$F$200,"Brand page")&gt;0,"Y",IF(COUNTIFS('QC listings'!$A$5:$A$200,$M187,'QC listings'!$C$5:$C$200,O$4)&gt;0,"?","–")))</f>
        <v/>
      </c>
      <c r="P187" s="12" t="str">
        <f aca="false">IF($M187="","",IF(COUNTIFS('QC listings'!$A$5:$A$200,$M187,'QC listings'!$C$5:$C$200,P$4,'QC listings'!$F$5:$F$200,"Listing page")+COUNTIFS('QC listings'!$A$5:$A$200,$M187,'QC listings'!$C$5:$C$200,P$4,'QC listings'!$F$5:$F$200,"Brand page")&gt;0,"Y",IF(COUNTIFS('QC listings'!$A$5:$A$200,$M187,'QC listings'!$C$5:$C$200,P$4)&gt;0,"?","–")))</f>
        <v/>
      </c>
      <c r="Q187" s="12" t="str">
        <f aca="false">IF($M187="","",IF(COUNTIFS('QC listings'!$A$5:$A$200,$M187,'QC listings'!$C$5:$C$200,Q$4,'QC listings'!$F$5:$F$200,"Listing page")+COUNTIFS('QC listings'!$A$5:$A$200,$M187,'QC listings'!$C$5:$C$200,Q$4,'QC listings'!$F$5:$F$200,"Brand page")&gt;0,"Y",IF(COUNTIFS('QC listings'!$A$5:$A$200,$M187,'QC listings'!$C$5:$C$200,Q$4)&gt;0,"?","–")))</f>
        <v/>
      </c>
      <c r="R187" s="12" t="str">
        <f aca="false">IF($M187="","",IF(COUNTIFS('QC listings'!$A$5:$A$200,$M187,'QC listings'!$C$5:$C$200,R$4,'QC listings'!$F$5:$F$200,"Listing page")+COUNTIFS('QC listings'!$A$5:$A$200,$M187,'QC listings'!$C$5:$C$200,R$4,'QC listings'!$F$5:$F$200,"Brand page")&gt;0,"Y",IF(COUNTIFS('QC listings'!$A$5:$A$200,$M187,'QC listings'!$C$5:$C$200,R$4)&gt;0,"?","–")))</f>
        <v/>
      </c>
      <c r="S187" s="12" t="str">
        <f aca="false">IF($M187="","",COUNTIF(O187:R187,"Y"))</f>
        <v/>
      </c>
      <c r="T187" s="23" t="str">
        <f aca="false">IF($M187="","",SUMPRODUCT(MAX(('QC listings'!$A$5:$A$200=$M187)*'QC listings'!$E$5:$E$200)))</f>
        <v/>
      </c>
      <c r="U187" s="12" t="str">
        <f aca="false">IF($M187="","",IF(T187&gt;=Scoring!$B$11,3,IF(T187&gt;=Scoring!$B$10,2,IF(T187&gt;=Scoring!$B$9,1,0))))</f>
        <v/>
      </c>
      <c r="V187" s="12" t="n">
        <f aca="false">IFERROR(INDEX(Scoring!$B$27:$B$56,MATCH($E187,Scoring!$A$27:$A$56,0)),0)</f>
        <v>0</v>
      </c>
      <c r="W187" s="24" t="n">
        <f aca="false">IF($G187="","",ROUND((Scoring!$B$5-$G187)/30.4375,1))</f>
        <v>3.6</v>
      </c>
      <c r="X187" s="12" t="n">
        <f aca="false">IF($F187="Expired",Scoring!$B$18,IF($G187="",Scoring!$B$17,IF(W187&lt;=Scoring!$B$12,Scoring!$B$13,IF(W187&lt;=Scoring!$B$14,Scoring!$B$15,Scoring!$B$16))))</f>
        <v>2</v>
      </c>
      <c r="Y187" s="15" t="str">
        <f aca="false">IF($M187="","",ROUND((S187*Scoring!$B$6+U187*Scoring!$B$7)*IFERROR(INDEX(Scoring!$B$22:$B$24,MATCH($N187,Scoring!$A$22:$A$24,0)),1)+V187*Scoring!$B$8+X187,2))</f>
        <v/>
      </c>
      <c r="Z187" s="12" t="str">
        <f aca="false">IF($M187="","",IF(SUMPRODUCT(($M$5:$M$249=$M187)*($G$5:$G$249&gt;$G187))&gt;0,0,IF(SUMPRODUCT(($M$5:$M$249=$M187)*($G$5:$G$249=$G187)*(ROW($M$5:$M$249)&lt;ROW($M187)))&gt;0,0,1)))</f>
        <v/>
      </c>
      <c r="AA187" s="12" t="str">
        <f aca="false">IF($Z187=1,RANK($AE187,$AE$5:$AE$249,0),"")</f>
        <v/>
      </c>
      <c r="AB187" s="7" t="s">
        <v>153</v>
      </c>
      <c r="AC187" s="6" t="s">
        <v>162</v>
      </c>
      <c r="AD187" s="6" t="s">
        <v>1067</v>
      </c>
      <c r="AE187" s="25" t="str">
        <f aca="false">IF($Z187=1,$Y187+$T187/1000000000-ROW()/10000000,"")</f>
        <v/>
      </c>
    </row>
    <row r="188" customFormat="false" ht="23.85" hidden="false" customHeight="false" outlineLevel="0" collapsed="false">
      <c r="A188" s="7" t="s">
        <v>1068</v>
      </c>
      <c r="B188" s="6" t="s">
        <v>471</v>
      </c>
      <c r="C188" s="6" t="s">
        <v>1063</v>
      </c>
      <c r="D188" s="7" t="s">
        <v>757</v>
      </c>
      <c r="E188" s="7" t="s">
        <v>1064</v>
      </c>
      <c r="F188" s="12" t="s">
        <v>158</v>
      </c>
      <c r="G188" s="13" t="n">
        <v>45830</v>
      </c>
      <c r="H188" s="7" t="s">
        <v>1069</v>
      </c>
      <c r="I188" s="6" t="s">
        <v>149</v>
      </c>
      <c r="J188" s="7" t="s">
        <v>60</v>
      </c>
      <c r="K188" s="12"/>
      <c r="L188" s="10" t="s">
        <v>1070</v>
      </c>
      <c r="M188" s="7"/>
      <c r="N188" s="12"/>
      <c r="O188" s="12" t="str">
        <f aca="false">IF($M188="","",IF(COUNTIFS('QC listings'!$A$5:$A$200,$M188,'QC listings'!$C$5:$C$200,O$4,'QC listings'!$F$5:$F$200,"Listing page")+COUNTIFS('QC listings'!$A$5:$A$200,$M188,'QC listings'!$C$5:$C$200,O$4,'QC listings'!$F$5:$F$200,"Brand page")&gt;0,"Y",IF(COUNTIFS('QC listings'!$A$5:$A$200,$M188,'QC listings'!$C$5:$C$200,O$4)&gt;0,"?","–")))</f>
        <v/>
      </c>
      <c r="P188" s="12" t="str">
        <f aca="false">IF($M188="","",IF(COUNTIFS('QC listings'!$A$5:$A$200,$M188,'QC listings'!$C$5:$C$200,P$4,'QC listings'!$F$5:$F$200,"Listing page")+COUNTIFS('QC listings'!$A$5:$A$200,$M188,'QC listings'!$C$5:$C$200,P$4,'QC listings'!$F$5:$F$200,"Brand page")&gt;0,"Y",IF(COUNTIFS('QC listings'!$A$5:$A$200,$M188,'QC listings'!$C$5:$C$200,P$4)&gt;0,"?","–")))</f>
        <v/>
      </c>
      <c r="Q188" s="12" t="str">
        <f aca="false">IF($M188="","",IF(COUNTIFS('QC listings'!$A$5:$A$200,$M188,'QC listings'!$C$5:$C$200,Q$4,'QC listings'!$F$5:$F$200,"Listing page")+COUNTIFS('QC listings'!$A$5:$A$200,$M188,'QC listings'!$C$5:$C$200,Q$4,'QC listings'!$F$5:$F$200,"Brand page")&gt;0,"Y",IF(COUNTIFS('QC listings'!$A$5:$A$200,$M188,'QC listings'!$C$5:$C$200,Q$4)&gt;0,"?","–")))</f>
        <v/>
      </c>
      <c r="R188" s="12" t="str">
        <f aca="false">IF($M188="","",IF(COUNTIFS('QC listings'!$A$5:$A$200,$M188,'QC listings'!$C$5:$C$200,R$4,'QC listings'!$F$5:$F$200,"Listing page")+COUNTIFS('QC listings'!$A$5:$A$200,$M188,'QC listings'!$C$5:$C$200,R$4,'QC listings'!$F$5:$F$200,"Brand page")&gt;0,"Y",IF(COUNTIFS('QC listings'!$A$5:$A$200,$M188,'QC listings'!$C$5:$C$200,R$4)&gt;0,"?","–")))</f>
        <v/>
      </c>
      <c r="S188" s="12" t="str">
        <f aca="false">IF($M188="","",COUNTIF(O188:R188,"Y"))</f>
        <v/>
      </c>
      <c r="T188" s="23" t="str">
        <f aca="false">IF($M188="","",SUMPRODUCT(MAX(('QC listings'!$A$5:$A$200=$M188)*'QC listings'!$E$5:$E$200)))</f>
        <v/>
      </c>
      <c r="U188" s="12" t="str">
        <f aca="false">IF($M188="","",IF(T188&gt;=Scoring!$B$11,3,IF(T188&gt;=Scoring!$B$10,2,IF(T188&gt;=Scoring!$B$9,1,0))))</f>
        <v/>
      </c>
      <c r="V188" s="12" t="n">
        <f aca="false">IFERROR(INDEX(Scoring!$B$27:$B$56,MATCH($E188,Scoring!$A$27:$A$56,0)),0)</f>
        <v>0</v>
      </c>
      <c r="W188" s="24" t="n">
        <f aca="false">IF($G188="","",ROUND((Scoring!$B$5-$G188)/30.4375,1))</f>
        <v>15.3</v>
      </c>
      <c r="X188" s="12" t="n">
        <f aca="false">IF($F188="Expired",Scoring!$B$18,IF($G188="",Scoring!$B$17,IF(W188&lt;=Scoring!$B$12,Scoring!$B$13,IF(W188&lt;=Scoring!$B$14,Scoring!$B$15,Scoring!$B$16))))</f>
        <v>1</v>
      </c>
      <c r="Y188" s="15" t="str">
        <f aca="false">IF($M188="","",ROUND((S188*Scoring!$B$6+U188*Scoring!$B$7)*IFERROR(INDEX(Scoring!$B$22:$B$24,MATCH($N188,Scoring!$A$22:$A$24,0)),1)+V188*Scoring!$B$8+X188,2))</f>
        <v/>
      </c>
      <c r="Z188" s="12" t="str">
        <f aca="false">IF($M188="","",IF(SUMPRODUCT(($M$5:$M$249=$M188)*($G$5:$G$249&gt;$G188))&gt;0,0,IF(SUMPRODUCT(($M$5:$M$249=$M188)*($G$5:$G$249=$G188)*(ROW($M$5:$M$249)&lt;ROW($M188)))&gt;0,0,1)))</f>
        <v/>
      </c>
      <c r="AA188" s="12" t="str">
        <f aca="false">IF($Z188=1,RANK($AE188,$AE$5:$AE$249,0),"")</f>
        <v/>
      </c>
      <c r="AB188" s="7" t="s">
        <v>153</v>
      </c>
      <c r="AC188" s="6" t="s">
        <v>162</v>
      </c>
      <c r="AD188" s="6" t="s">
        <v>1067</v>
      </c>
      <c r="AE188" s="25" t="str">
        <f aca="false">IF($Z188=1,$Y188+$T188/1000000000-ROW()/10000000,"")</f>
        <v/>
      </c>
    </row>
    <row r="189" customFormat="false" ht="23.85" hidden="false" customHeight="false" outlineLevel="0" collapsed="false">
      <c r="A189" s="7" t="s">
        <v>1071</v>
      </c>
      <c r="B189" s="6" t="s">
        <v>650</v>
      </c>
      <c r="C189" s="6" t="s">
        <v>1072</v>
      </c>
      <c r="D189" s="7" t="s">
        <v>757</v>
      </c>
      <c r="E189" s="7" t="s">
        <v>1064</v>
      </c>
      <c r="F189" s="12" t="s">
        <v>158</v>
      </c>
      <c r="G189" s="13" t="n">
        <v>46169</v>
      </c>
      <c r="H189" s="7" t="s">
        <v>1073</v>
      </c>
      <c r="I189" s="6" t="s">
        <v>149</v>
      </c>
      <c r="J189" s="7" t="s">
        <v>60</v>
      </c>
      <c r="K189" s="12"/>
      <c r="L189" s="10" t="s">
        <v>1074</v>
      </c>
      <c r="M189" s="7"/>
      <c r="N189" s="12"/>
      <c r="O189" s="12" t="str">
        <f aca="false">IF($M189="","",IF(COUNTIFS('QC listings'!$A$5:$A$200,$M189,'QC listings'!$C$5:$C$200,O$4,'QC listings'!$F$5:$F$200,"Listing page")+COUNTIFS('QC listings'!$A$5:$A$200,$M189,'QC listings'!$C$5:$C$200,O$4,'QC listings'!$F$5:$F$200,"Brand page")&gt;0,"Y",IF(COUNTIFS('QC listings'!$A$5:$A$200,$M189,'QC listings'!$C$5:$C$200,O$4)&gt;0,"?","–")))</f>
        <v/>
      </c>
      <c r="P189" s="12" t="str">
        <f aca="false">IF($M189="","",IF(COUNTIFS('QC listings'!$A$5:$A$200,$M189,'QC listings'!$C$5:$C$200,P$4,'QC listings'!$F$5:$F$200,"Listing page")+COUNTIFS('QC listings'!$A$5:$A$200,$M189,'QC listings'!$C$5:$C$200,P$4,'QC listings'!$F$5:$F$200,"Brand page")&gt;0,"Y",IF(COUNTIFS('QC listings'!$A$5:$A$200,$M189,'QC listings'!$C$5:$C$200,P$4)&gt;0,"?","–")))</f>
        <v/>
      </c>
      <c r="Q189" s="12" t="str">
        <f aca="false">IF($M189="","",IF(COUNTIFS('QC listings'!$A$5:$A$200,$M189,'QC listings'!$C$5:$C$200,Q$4,'QC listings'!$F$5:$F$200,"Listing page")+COUNTIFS('QC listings'!$A$5:$A$200,$M189,'QC listings'!$C$5:$C$200,Q$4,'QC listings'!$F$5:$F$200,"Brand page")&gt;0,"Y",IF(COUNTIFS('QC listings'!$A$5:$A$200,$M189,'QC listings'!$C$5:$C$200,Q$4)&gt;0,"?","–")))</f>
        <v/>
      </c>
      <c r="R189" s="12" t="str">
        <f aca="false">IF($M189="","",IF(COUNTIFS('QC listings'!$A$5:$A$200,$M189,'QC listings'!$C$5:$C$200,R$4,'QC listings'!$F$5:$F$200,"Listing page")+COUNTIFS('QC listings'!$A$5:$A$200,$M189,'QC listings'!$C$5:$C$200,R$4,'QC listings'!$F$5:$F$200,"Brand page")&gt;0,"Y",IF(COUNTIFS('QC listings'!$A$5:$A$200,$M189,'QC listings'!$C$5:$C$200,R$4)&gt;0,"?","–")))</f>
        <v/>
      </c>
      <c r="S189" s="12" t="str">
        <f aca="false">IF($M189="","",COUNTIF(O189:R189,"Y"))</f>
        <v/>
      </c>
      <c r="T189" s="23" t="str">
        <f aca="false">IF($M189="","",SUMPRODUCT(MAX(('QC listings'!$A$5:$A$200=$M189)*'QC listings'!$E$5:$E$200)))</f>
        <v/>
      </c>
      <c r="U189" s="12" t="str">
        <f aca="false">IF($M189="","",IF(T189&gt;=Scoring!$B$11,3,IF(T189&gt;=Scoring!$B$10,2,IF(T189&gt;=Scoring!$B$9,1,0))))</f>
        <v/>
      </c>
      <c r="V189" s="12" t="n">
        <f aca="false">IFERROR(INDEX(Scoring!$B$27:$B$56,MATCH($E189,Scoring!$A$27:$A$56,0)),0)</f>
        <v>0</v>
      </c>
      <c r="W189" s="24" t="n">
        <f aca="false">IF($G189="","",ROUND((Scoring!$B$5-$G189)/30.4375,1))</f>
        <v>4.2</v>
      </c>
      <c r="X189" s="12" t="n">
        <f aca="false">IF($F189="Expired",Scoring!$B$18,IF($G189="",Scoring!$B$17,IF(W189&lt;=Scoring!$B$12,Scoring!$B$13,IF(W189&lt;=Scoring!$B$14,Scoring!$B$15,Scoring!$B$16))))</f>
        <v>2</v>
      </c>
      <c r="Y189" s="15" t="str">
        <f aca="false">IF($M189="","",ROUND((S189*Scoring!$B$6+U189*Scoring!$B$7)*IFERROR(INDEX(Scoring!$B$22:$B$24,MATCH($N189,Scoring!$A$22:$A$24,0)),1)+V189*Scoring!$B$8+X189,2))</f>
        <v/>
      </c>
      <c r="Z189" s="12" t="str">
        <f aca="false">IF($M189="","",IF(SUMPRODUCT(($M$5:$M$249=$M189)*($G$5:$G$249&gt;$G189))&gt;0,0,IF(SUMPRODUCT(($M$5:$M$249=$M189)*($G$5:$G$249=$G189)*(ROW($M$5:$M$249)&lt;ROW($M189)))&gt;0,0,1)))</f>
        <v/>
      </c>
      <c r="AA189" s="12" t="str">
        <f aca="false">IF($Z189=1,RANK($AE189,$AE$5:$AE$249,0),"")</f>
        <v/>
      </c>
      <c r="AB189" s="7" t="s">
        <v>153</v>
      </c>
      <c r="AC189" s="6" t="s">
        <v>162</v>
      </c>
      <c r="AD189" s="6"/>
      <c r="AE189" s="25" t="str">
        <f aca="false">IF($Z189=1,$Y189+$T189/1000000000-ROW()/10000000,"")</f>
        <v/>
      </c>
    </row>
    <row r="190" customFormat="false" ht="23.85" hidden="false" customHeight="false" outlineLevel="0" collapsed="false">
      <c r="A190" s="7" t="s">
        <v>1075</v>
      </c>
      <c r="B190" s="6" t="s">
        <v>1076</v>
      </c>
      <c r="C190" s="6" t="s">
        <v>1077</v>
      </c>
      <c r="D190" s="7" t="s">
        <v>757</v>
      </c>
      <c r="E190" s="7" t="s">
        <v>1064</v>
      </c>
      <c r="F190" s="12" t="s">
        <v>158</v>
      </c>
      <c r="G190" s="13" t="n">
        <v>46073</v>
      </c>
      <c r="H190" s="7" t="s">
        <v>1078</v>
      </c>
      <c r="I190" s="6" t="s">
        <v>149</v>
      </c>
      <c r="J190" s="7" t="s">
        <v>60</v>
      </c>
      <c r="K190" s="12"/>
      <c r="L190" s="10" t="s">
        <v>1079</v>
      </c>
      <c r="M190" s="7"/>
      <c r="N190" s="12"/>
      <c r="O190" s="12" t="str">
        <f aca="false">IF($M190="","",IF(COUNTIFS('QC listings'!$A$5:$A$200,$M190,'QC listings'!$C$5:$C$200,O$4,'QC listings'!$F$5:$F$200,"Listing page")+COUNTIFS('QC listings'!$A$5:$A$200,$M190,'QC listings'!$C$5:$C$200,O$4,'QC listings'!$F$5:$F$200,"Brand page")&gt;0,"Y",IF(COUNTIFS('QC listings'!$A$5:$A$200,$M190,'QC listings'!$C$5:$C$200,O$4)&gt;0,"?","–")))</f>
        <v/>
      </c>
      <c r="P190" s="12" t="str">
        <f aca="false">IF($M190="","",IF(COUNTIFS('QC listings'!$A$5:$A$200,$M190,'QC listings'!$C$5:$C$200,P$4,'QC listings'!$F$5:$F$200,"Listing page")+COUNTIFS('QC listings'!$A$5:$A$200,$M190,'QC listings'!$C$5:$C$200,P$4,'QC listings'!$F$5:$F$200,"Brand page")&gt;0,"Y",IF(COUNTIFS('QC listings'!$A$5:$A$200,$M190,'QC listings'!$C$5:$C$200,P$4)&gt;0,"?","–")))</f>
        <v/>
      </c>
      <c r="Q190" s="12" t="str">
        <f aca="false">IF($M190="","",IF(COUNTIFS('QC listings'!$A$5:$A$200,$M190,'QC listings'!$C$5:$C$200,Q$4,'QC listings'!$F$5:$F$200,"Listing page")+COUNTIFS('QC listings'!$A$5:$A$200,$M190,'QC listings'!$C$5:$C$200,Q$4,'QC listings'!$F$5:$F$200,"Brand page")&gt;0,"Y",IF(COUNTIFS('QC listings'!$A$5:$A$200,$M190,'QC listings'!$C$5:$C$200,Q$4)&gt;0,"?","–")))</f>
        <v/>
      </c>
      <c r="R190" s="12" t="str">
        <f aca="false">IF($M190="","",IF(COUNTIFS('QC listings'!$A$5:$A$200,$M190,'QC listings'!$C$5:$C$200,R$4,'QC listings'!$F$5:$F$200,"Listing page")+COUNTIFS('QC listings'!$A$5:$A$200,$M190,'QC listings'!$C$5:$C$200,R$4,'QC listings'!$F$5:$F$200,"Brand page")&gt;0,"Y",IF(COUNTIFS('QC listings'!$A$5:$A$200,$M190,'QC listings'!$C$5:$C$200,R$4)&gt;0,"?","–")))</f>
        <v/>
      </c>
      <c r="S190" s="12" t="str">
        <f aca="false">IF($M190="","",COUNTIF(O190:R190,"Y"))</f>
        <v/>
      </c>
      <c r="T190" s="23" t="str">
        <f aca="false">IF($M190="","",SUMPRODUCT(MAX(('QC listings'!$A$5:$A$200=$M190)*'QC listings'!$E$5:$E$200)))</f>
        <v/>
      </c>
      <c r="U190" s="12" t="str">
        <f aca="false">IF($M190="","",IF(T190&gt;=Scoring!$B$11,3,IF(T190&gt;=Scoring!$B$10,2,IF(T190&gt;=Scoring!$B$9,1,0))))</f>
        <v/>
      </c>
      <c r="V190" s="12" t="n">
        <f aca="false">IFERROR(INDEX(Scoring!$B$27:$B$56,MATCH($E190,Scoring!$A$27:$A$56,0)),0)</f>
        <v>0</v>
      </c>
      <c r="W190" s="24" t="n">
        <f aca="false">IF($G190="","",ROUND((Scoring!$B$5-$G190)/30.4375,1))</f>
        <v>7.4</v>
      </c>
      <c r="X190" s="12" t="n">
        <f aca="false">IF($F190="Expired",Scoring!$B$18,IF($G190="",Scoring!$B$17,IF(W190&lt;=Scoring!$B$12,Scoring!$B$13,IF(W190&lt;=Scoring!$B$14,Scoring!$B$15,Scoring!$B$16))))</f>
        <v>2</v>
      </c>
      <c r="Y190" s="15" t="str">
        <f aca="false">IF($M190="","",ROUND((S190*Scoring!$B$6+U190*Scoring!$B$7)*IFERROR(INDEX(Scoring!$B$22:$B$24,MATCH($N190,Scoring!$A$22:$A$24,0)),1)+V190*Scoring!$B$8+X190,2))</f>
        <v/>
      </c>
      <c r="Z190" s="12" t="str">
        <f aca="false">IF($M190="","",IF(SUMPRODUCT(($M$5:$M$249=$M190)*($G$5:$G$249&gt;$G190))&gt;0,0,IF(SUMPRODUCT(($M$5:$M$249=$M190)*($G$5:$G$249=$G190)*(ROW($M$5:$M$249)&lt;ROW($M190)))&gt;0,0,1)))</f>
        <v/>
      </c>
      <c r="AA190" s="12" t="str">
        <f aca="false">IF($Z190=1,RANK($AE190,$AE$5:$AE$249,0),"")</f>
        <v/>
      </c>
      <c r="AB190" s="7" t="s">
        <v>153</v>
      </c>
      <c r="AC190" s="6" t="s">
        <v>162</v>
      </c>
      <c r="AD190" s="6"/>
      <c r="AE190" s="25" t="str">
        <f aca="false">IF($Z190=1,$Y190+$T190/1000000000-ROW()/10000000,"")</f>
        <v/>
      </c>
    </row>
    <row r="191" customFormat="false" ht="23.85" hidden="false" customHeight="false" outlineLevel="0" collapsed="false">
      <c r="A191" s="7" t="s">
        <v>1080</v>
      </c>
      <c r="B191" s="6" t="s">
        <v>1076</v>
      </c>
      <c r="C191" s="6" t="s">
        <v>1081</v>
      </c>
      <c r="D191" s="7" t="s">
        <v>757</v>
      </c>
      <c r="E191" s="7" t="s">
        <v>1064</v>
      </c>
      <c r="F191" s="12" t="s">
        <v>158</v>
      </c>
      <c r="G191" s="13" t="n">
        <v>46073</v>
      </c>
      <c r="H191" s="7" t="s">
        <v>1082</v>
      </c>
      <c r="I191" s="6" t="s">
        <v>149</v>
      </c>
      <c r="J191" s="7" t="s">
        <v>60</v>
      </c>
      <c r="K191" s="12"/>
      <c r="L191" s="10" t="s">
        <v>1083</v>
      </c>
      <c r="M191" s="7"/>
      <c r="N191" s="12"/>
      <c r="O191" s="12" t="str">
        <f aca="false">IF($M191="","",IF(COUNTIFS('QC listings'!$A$5:$A$200,$M191,'QC listings'!$C$5:$C$200,O$4,'QC listings'!$F$5:$F$200,"Listing page")+COUNTIFS('QC listings'!$A$5:$A$200,$M191,'QC listings'!$C$5:$C$200,O$4,'QC listings'!$F$5:$F$200,"Brand page")&gt;0,"Y",IF(COUNTIFS('QC listings'!$A$5:$A$200,$M191,'QC listings'!$C$5:$C$200,O$4)&gt;0,"?","–")))</f>
        <v/>
      </c>
      <c r="P191" s="12" t="str">
        <f aca="false">IF($M191="","",IF(COUNTIFS('QC listings'!$A$5:$A$200,$M191,'QC listings'!$C$5:$C$200,P$4,'QC listings'!$F$5:$F$200,"Listing page")+COUNTIFS('QC listings'!$A$5:$A$200,$M191,'QC listings'!$C$5:$C$200,P$4,'QC listings'!$F$5:$F$200,"Brand page")&gt;0,"Y",IF(COUNTIFS('QC listings'!$A$5:$A$200,$M191,'QC listings'!$C$5:$C$200,P$4)&gt;0,"?","–")))</f>
        <v/>
      </c>
      <c r="Q191" s="12" t="str">
        <f aca="false">IF($M191="","",IF(COUNTIFS('QC listings'!$A$5:$A$200,$M191,'QC listings'!$C$5:$C$200,Q$4,'QC listings'!$F$5:$F$200,"Listing page")+COUNTIFS('QC listings'!$A$5:$A$200,$M191,'QC listings'!$C$5:$C$200,Q$4,'QC listings'!$F$5:$F$200,"Brand page")&gt;0,"Y",IF(COUNTIFS('QC listings'!$A$5:$A$200,$M191,'QC listings'!$C$5:$C$200,Q$4)&gt;0,"?","–")))</f>
        <v/>
      </c>
      <c r="R191" s="12" t="str">
        <f aca="false">IF($M191="","",IF(COUNTIFS('QC listings'!$A$5:$A$200,$M191,'QC listings'!$C$5:$C$200,R$4,'QC listings'!$F$5:$F$200,"Listing page")+COUNTIFS('QC listings'!$A$5:$A$200,$M191,'QC listings'!$C$5:$C$200,R$4,'QC listings'!$F$5:$F$200,"Brand page")&gt;0,"Y",IF(COUNTIFS('QC listings'!$A$5:$A$200,$M191,'QC listings'!$C$5:$C$200,R$4)&gt;0,"?","–")))</f>
        <v/>
      </c>
      <c r="S191" s="12" t="str">
        <f aca="false">IF($M191="","",COUNTIF(O191:R191,"Y"))</f>
        <v/>
      </c>
      <c r="T191" s="23" t="str">
        <f aca="false">IF($M191="","",SUMPRODUCT(MAX(('QC listings'!$A$5:$A$200=$M191)*'QC listings'!$E$5:$E$200)))</f>
        <v/>
      </c>
      <c r="U191" s="12" t="str">
        <f aca="false">IF($M191="","",IF(T191&gt;=Scoring!$B$11,3,IF(T191&gt;=Scoring!$B$10,2,IF(T191&gt;=Scoring!$B$9,1,0))))</f>
        <v/>
      </c>
      <c r="V191" s="12" t="n">
        <f aca="false">IFERROR(INDEX(Scoring!$B$27:$B$56,MATCH($E191,Scoring!$A$27:$A$56,0)),0)</f>
        <v>0</v>
      </c>
      <c r="W191" s="24" t="n">
        <f aca="false">IF($G191="","",ROUND((Scoring!$B$5-$G191)/30.4375,1))</f>
        <v>7.4</v>
      </c>
      <c r="X191" s="12" t="n">
        <f aca="false">IF($F191="Expired",Scoring!$B$18,IF($G191="",Scoring!$B$17,IF(W191&lt;=Scoring!$B$12,Scoring!$B$13,IF(W191&lt;=Scoring!$B$14,Scoring!$B$15,Scoring!$B$16))))</f>
        <v>2</v>
      </c>
      <c r="Y191" s="15" t="str">
        <f aca="false">IF($M191="","",ROUND((S191*Scoring!$B$6+U191*Scoring!$B$7)*IFERROR(INDEX(Scoring!$B$22:$B$24,MATCH($N191,Scoring!$A$22:$A$24,0)),1)+V191*Scoring!$B$8+X191,2))</f>
        <v/>
      </c>
      <c r="Z191" s="12" t="str">
        <f aca="false">IF($M191="","",IF(SUMPRODUCT(($M$5:$M$249=$M191)*($G$5:$G$249&gt;$G191))&gt;0,0,IF(SUMPRODUCT(($M$5:$M$249=$M191)*($G$5:$G$249=$G191)*(ROW($M$5:$M$249)&lt;ROW($M191)))&gt;0,0,1)))</f>
        <v/>
      </c>
      <c r="AA191" s="12" t="str">
        <f aca="false">IF($Z191=1,RANK($AE191,$AE$5:$AE$249,0),"")</f>
        <v/>
      </c>
      <c r="AB191" s="7" t="s">
        <v>153</v>
      </c>
      <c r="AC191" s="6" t="s">
        <v>162</v>
      </c>
      <c r="AD191" s="6"/>
      <c r="AE191" s="25" t="str">
        <f aca="false">IF($Z191=1,$Y191+$T191/1000000000-ROW()/10000000,"")</f>
        <v/>
      </c>
    </row>
    <row r="192" customFormat="false" ht="23.85" hidden="false" customHeight="false" outlineLevel="0" collapsed="false">
      <c r="A192" s="7" t="s">
        <v>1084</v>
      </c>
      <c r="B192" s="6" t="s">
        <v>925</v>
      </c>
      <c r="C192" s="6" t="s">
        <v>1085</v>
      </c>
      <c r="D192" s="7" t="s">
        <v>757</v>
      </c>
      <c r="E192" s="7" t="s">
        <v>1064</v>
      </c>
      <c r="F192" s="12" t="s">
        <v>158</v>
      </c>
      <c r="G192" s="13" t="n">
        <v>45417</v>
      </c>
      <c r="H192" s="7" t="s">
        <v>1086</v>
      </c>
      <c r="I192" s="6" t="s">
        <v>149</v>
      </c>
      <c r="J192" s="7" t="s">
        <v>60</v>
      </c>
      <c r="K192" s="12"/>
      <c r="L192" s="10" t="s">
        <v>1087</v>
      </c>
      <c r="M192" s="7"/>
      <c r="N192" s="12"/>
      <c r="O192" s="12" t="str">
        <f aca="false">IF($M192="","",IF(COUNTIFS('QC listings'!$A$5:$A$200,$M192,'QC listings'!$C$5:$C$200,O$4,'QC listings'!$F$5:$F$200,"Listing page")+COUNTIFS('QC listings'!$A$5:$A$200,$M192,'QC listings'!$C$5:$C$200,O$4,'QC listings'!$F$5:$F$200,"Brand page")&gt;0,"Y",IF(COUNTIFS('QC listings'!$A$5:$A$200,$M192,'QC listings'!$C$5:$C$200,O$4)&gt;0,"?","–")))</f>
        <v/>
      </c>
      <c r="P192" s="12" t="str">
        <f aca="false">IF($M192="","",IF(COUNTIFS('QC listings'!$A$5:$A$200,$M192,'QC listings'!$C$5:$C$200,P$4,'QC listings'!$F$5:$F$200,"Listing page")+COUNTIFS('QC listings'!$A$5:$A$200,$M192,'QC listings'!$C$5:$C$200,P$4,'QC listings'!$F$5:$F$200,"Brand page")&gt;0,"Y",IF(COUNTIFS('QC listings'!$A$5:$A$200,$M192,'QC listings'!$C$5:$C$200,P$4)&gt;0,"?","–")))</f>
        <v/>
      </c>
      <c r="Q192" s="12" t="str">
        <f aca="false">IF($M192="","",IF(COUNTIFS('QC listings'!$A$5:$A$200,$M192,'QC listings'!$C$5:$C$200,Q$4,'QC listings'!$F$5:$F$200,"Listing page")+COUNTIFS('QC listings'!$A$5:$A$200,$M192,'QC listings'!$C$5:$C$200,Q$4,'QC listings'!$F$5:$F$200,"Brand page")&gt;0,"Y",IF(COUNTIFS('QC listings'!$A$5:$A$200,$M192,'QC listings'!$C$5:$C$200,Q$4)&gt;0,"?","–")))</f>
        <v/>
      </c>
      <c r="R192" s="12" t="str">
        <f aca="false">IF($M192="","",IF(COUNTIFS('QC listings'!$A$5:$A$200,$M192,'QC listings'!$C$5:$C$200,R$4,'QC listings'!$F$5:$F$200,"Listing page")+COUNTIFS('QC listings'!$A$5:$A$200,$M192,'QC listings'!$C$5:$C$200,R$4,'QC listings'!$F$5:$F$200,"Brand page")&gt;0,"Y",IF(COUNTIFS('QC listings'!$A$5:$A$200,$M192,'QC listings'!$C$5:$C$200,R$4)&gt;0,"?","–")))</f>
        <v/>
      </c>
      <c r="S192" s="12" t="str">
        <f aca="false">IF($M192="","",COUNTIF(O192:R192,"Y"))</f>
        <v/>
      </c>
      <c r="T192" s="23" t="str">
        <f aca="false">IF($M192="","",SUMPRODUCT(MAX(('QC listings'!$A$5:$A$200=$M192)*'QC listings'!$E$5:$E$200)))</f>
        <v/>
      </c>
      <c r="U192" s="12" t="str">
        <f aca="false">IF($M192="","",IF(T192&gt;=Scoring!$B$11,3,IF(T192&gt;=Scoring!$B$10,2,IF(T192&gt;=Scoring!$B$9,1,0))))</f>
        <v/>
      </c>
      <c r="V192" s="12" t="n">
        <f aca="false">IFERROR(INDEX(Scoring!$B$27:$B$56,MATCH($E192,Scoring!$A$27:$A$56,0)),0)</f>
        <v>0</v>
      </c>
      <c r="W192" s="24" t="n">
        <f aca="false">IF($G192="","",ROUND((Scoring!$B$5-$G192)/30.4375,1))</f>
        <v>28.9</v>
      </c>
      <c r="X192" s="12" t="n">
        <f aca="false">IF($F192="Expired",Scoring!$B$18,IF($G192="",Scoring!$B$17,IF(W192&lt;=Scoring!$B$12,Scoring!$B$13,IF(W192&lt;=Scoring!$B$14,Scoring!$B$15,Scoring!$B$16))))</f>
        <v>0</v>
      </c>
      <c r="Y192" s="15" t="str">
        <f aca="false">IF($M192="","",ROUND((S192*Scoring!$B$6+U192*Scoring!$B$7)*IFERROR(INDEX(Scoring!$B$22:$B$24,MATCH($N192,Scoring!$A$22:$A$24,0)),1)+V192*Scoring!$B$8+X192,2))</f>
        <v/>
      </c>
      <c r="Z192" s="12" t="str">
        <f aca="false">IF($M192="","",IF(SUMPRODUCT(($M$5:$M$249=$M192)*($G$5:$G$249&gt;$G192))&gt;0,0,IF(SUMPRODUCT(($M$5:$M$249=$M192)*($G$5:$G$249=$G192)*(ROW($M$5:$M$249)&lt;ROW($M192)))&gt;0,0,1)))</f>
        <v/>
      </c>
      <c r="AA192" s="12" t="str">
        <f aca="false">IF($Z192=1,RANK($AE192,$AE$5:$AE$249,0),"")</f>
        <v/>
      </c>
      <c r="AB192" s="7" t="s">
        <v>153</v>
      </c>
      <c r="AC192" s="6" t="s">
        <v>162</v>
      </c>
      <c r="AD192" s="6"/>
      <c r="AE192" s="25" t="str">
        <f aca="false">IF($Z192=1,$Y192+$T192/1000000000-ROW()/10000000,"")</f>
        <v/>
      </c>
    </row>
    <row r="193" customFormat="false" ht="23.85" hidden="false" customHeight="false" outlineLevel="0" collapsed="false">
      <c r="A193" s="7" t="s">
        <v>1088</v>
      </c>
      <c r="B193" s="6" t="s">
        <v>930</v>
      </c>
      <c r="C193" s="6" t="s">
        <v>1085</v>
      </c>
      <c r="D193" s="7" t="s">
        <v>757</v>
      </c>
      <c r="E193" s="7" t="s">
        <v>1064</v>
      </c>
      <c r="F193" s="12" t="s">
        <v>158</v>
      </c>
      <c r="G193" s="13" t="n">
        <v>45414</v>
      </c>
      <c r="H193" s="7" t="s">
        <v>1089</v>
      </c>
      <c r="I193" s="6" t="s">
        <v>149</v>
      </c>
      <c r="J193" s="7" t="s">
        <v>60</v>
      </c>
      <c r="K193" s="12"/>
      <c r="L193" s="10" t="s">
        <v>1090</v>
      </c>
      <c r="M193" s="7"/>
      <c r="N193" s="12"/>
      <c r="O193" s="12" t="str">
        <f aca="false">IF($M193="","",IF(COUNTIFS('QC listings'!$A$5:$A$200,$M193,'QC listings'!$C$5:$C$200,O$4,'QC listings'!$F$5:$F$200,"Listing page")+COUNTIFS('QC listings'!$A$5:$A$200,$M193,'QC listings'!$C$5:$C$200,O$4,'QC listings'!$F$5:$F$200,"Brand page")&gt;0,"Y",IF(COUNTIFS('QC listings'!$A$5:$A$200,$M193,'QC listings'!$C$5:$C$200,O$4)&gt;0,"?","–")))</f>
        <v/>
      </c>
      <c r="P193" s="12" t="str">
        <f aca="false">IF($M193="","",IF(COUNTIFS('QC listings'!$A$5:$A$200,$M193,'QC listings'!$C$5:$C$200,P$4,'QC listings'!$F$5:$F$200,"Listing page")+COUNTIFS('QC listings'!$A$5:$A$200,$M193,'QC listings'!$C$5:$C$200,P$4,'QC listings'!$F$5:$F$200,"Brand page")&gt;0,"Y",IF(COUNTIFS('QC listings'!$A$5:$A$200,$M193,'QC listings'!$C$5:$C$200,P$4)&gt;0,"?","–")))</f>
        <v/>
      </c>
      <c r="Q193" s="12" t="str">
        <f aca="false">IF($M193="","",IF(COUNTIFS('QC listings'!$A$5:$A$200,$M193,'QC listings'!$C$5:$C$200,Q$4,'QC listings'!$F$5:$F$200,"Listing page")+COUNTIFS('QC listings'!$A$5:$A$200,$M193,'QC listings'!$C$5:$C$200,Q$4,'QC listings'!$F$5:$F$200,"Brand page")&gt;0,"Y",IF(COUNTIFS('QC listings'!$A$5:$A$200,$M193,'QC listings'!$C$5:$C$200,Q$4)&gt;0,"?","–")))</f>
        <v/>
      </c>
      <c r="R193" s="12" t="str">
        <f aca="false">IF($M193="","",IF(COUNTIFS('QC listings'!$A$5:$A$200,$M193,'QC listings'!$C$5:$C$200,R$4,'QC listings'!$F$5:$F$200,"Listing page")+COUNTIFS('QC listings'!$A$5:$A$200,$M193,'QC listings'!$C$5:$C$200,R$4,'QC listings'!$F$5:$F$200,"Brand page")&gt;0,"Y",IF(COUNTIFS('QC listings'!$A$5:$A$200,$M193,'QC listings'!$C$5:$C$200,R$4)&gt;0,"?","–")))</f>
        <v/>
      </c>
      <c r="S193" s="12" t="str">
        <f aca="false">IF($M193="","",COUNTIF(O193:R193,"Y"))</f>
        <v/>
      </c>
      <c r="T193" s="23" t="str">
        <f aca="false">IF($M193="","",SUMPRODUCT(MAX(('QC listings'!$A$5:$A$200=$M193)*'QC listings'!$E$5:$E$200)))</f>
        <v/>
      </c>
      <c r="U193" s="12" t="str">
        <f aca="false">IF($M193="","",IF(T193&gt;=Scoring!$B$11,3,IF(T193&gt;=Scoring!$B$10,2,IF(T193&gt;=Scoring!$B$9,1,0))))</f>
        <v/>
      </c>
      <c r="V193" s="12" t="n">
        <f aca="false">IFERROR(INDEX(Scoring!$B$27:$B$56,MATCH($E193,Scoring!$A$27:$A$56,0)),0)</f>
        <v>0</v>
      </c>
      <c r="W193" s="24" t="n">
        <f aca="false">IF($G193="","",ROUND((Scoring!$B$5-$G193)/30.4375,1))</f>
        <v>29</v>
      </c>
      <c r="X193" s="12" t="n">
        <f aca="false">IF($F193="Expired",Scoring!$B$18,IF($G193="",Scoring!$B$17,IF(W193&lt;=Scoring!$B$12,Scoring!$B$13,IF(W193&lt;=Scoring!$B$14,Scoring!$B$15,Scoring!$B$16))))</f>
        <v>0</v>
      </c>
      <c r="Y193" s="15" t="str">
        <f aca="false">IF($M193="","",ROUND((S193*Scoring!$B$6+U193*Scoring!$B$7)*IFERROR(INDEX(Scoring!$B$22:$B$24,MATCH($N193,Scoring!$A$22:$A$24,0)),1)+V193*Scoring!$B$8+X193,2))</f>
        <v/>
      </c>
      <c r="Z193" s="12" t="str">
        <f aca="false">IF($M193="","",IF(SUMPRODUCT(($M$5:$M$249=$M193)*($G$5:$G$249&gt;$G193))&gt;0,0,IF(SUMPRODUCT(($M$5:$M$249=$M193)*($G$5:$G$249=$G193)*(ROW($M$5:$M$249)&lt;ROW($M193)))&gt;0,0,1)))</f>
        <v/>
      </c>
      <c r="AA193" s="12" t="str">
        <f aca="false">IF($Z193=1,RANK($AE193,$AE$5:$AE$249,0),"")</f>
        <v/>
      </c>
      <c r="AB193" s="7" t="s">
        <v>153</v>
      </c>
      <c r="AC193" s="6" t="s">
        <v>162</v>
      </c>
      <c r="AD193" s="6"/>
      <c r="AE193" s="25" t="str">
        <f aca="false">IF($Z193=1,$Y193+$T193/1000000000-ROW()/10000000,"")</f>
        <v/>
      </c>
    </row>
    <row r="194" customFormat="false" ht="23.85" hidden="false" customHeight="false" outlineLevel="0" collapsed="false">
      <c r="A194" s="7" t="s">
        <v>1091</v>
      </c>
      <c r="B194" s="6" t="s">
        <v>930</v>
      </c>
      <c r="C194" s="6" t="s">
        <v>1092</v>
      </c>
      <c r="D194" s="7" t="s">
        <v>757</v>
      </c>
      <c r="E194" s="7" t="s">
        <v>1064</v>
      </c>
      <c r="F194" s="12" t="s">
        <v>158</v>
      </c>
      <c r="G194" s="13" t="n">
        <v>46220</v>
      </c>
      <c r="H194" s="7" t="s">
        <v>1093</v>
      </c>
      <c r="I194" s="6" t="s">
        <v>149</v>
      </c>
      <c r="J194" s="7" t="s">
        <v>60</v>
      </c>
      <c r="K194" s="12"/>
      <c r="L194" s="10" t="s">
        <v>1094</v>
      </c>
      <c r="M194" s="7"/>
      <c r="N194" s="12"/>
      <c r="O194" s="12" t="str">
        <f aca="false">IF($M194="","",IF(COUNTIFS('QC listings'!$A$5:$A$200,$M194,'QC listings'!$C$5:$C$200,O$4,'QC listings'!$F$5:$F$200,"Listing page")+COUNTIFS('QC listings'!$A$5:$A$200,$M194,'QC listings'!$C$5:$C$200,O$4,'QC listings'!$F$5:$F$200,"Brand page")&gt;0,"Y",IF(COUNTIFS('QC listings'!$A$5:$A$200,$M194,'QC listings'!$C$5:$C$200,O$4)&gt;0,"?","–")))</f>
        <v/>
      </c>
      <c r="P194" s="12" t="str">
        <f aca="false">IF($M194="","",IF(COUNTIFS('QC listings'!$A$5:$A$200,$M194,'QC listings'!$C$5:$C$200,P$4,'QC listings'!$F$5:$F$200,"Listing page")+COUNTIFS('QC listings'!$A$5:$A$200,$M194,'QC listings'!$C$5:$C$200,P$4,'QC listings'!$F$5:$F$200,"Brand page")&gt;0,"Y",IF(COUNTIFS('QC listings'!$A$5:$A$200,$M194,'QC listings'!$C$5:$C$200,P$4)&gt;0,"?","–")))</f>
        <v/>
      </c>
      <c r="Q194" s="12" t="str">
        <f aca="false">IF($M194="","",IF(COUNTIFS('QC listings'!$A$5:$A$200,$M194,'QC listings'!$C$5:$C$200,Q$4,'QC listings'!$F$5:$F$200,"Listing page")+COUNTIFS('QC listings'!$A$5:$A$200,$M194,'QC listings'!$C$5:$C$200,Q$4,'QC listings'!$F$5:$F$200,"Brand page")&gt;0,"Y",IF(COUNTIFS('QC listings'!$A$5:$A$200,$M194,'QC listings'!$C$5:$C$200,Q$4)&gt;0,"?","–")))</f>
        <v/>
      </c>
      <c r="R194" s="12" t="str">
        <f aca="false">IF($M194="","",IF(COUNTIFS('QC listings'!$A$5:$A$200,$M194,'QC listings'!$C$5:$C$200,R$4,'QC listings'!$F$5:$F$200,"Listing page")+COUNTIFS('QC listings'!$A$5:$A$200,$M194,'QC listings'!$C$5:$C$200,R$4,'QC listings'!$F$5:$F$200,"Brand page")&gt;0,"Y",IF(COUNTIFS('QC listings'!$A$5:$A$200,$M194,'QC listings'!$C$5:$C$200,R$4)&gt;0,"?","–")))</f>
        <v/>
      </c>
      <c r="S194" s="12" t="str">
        <f aca="false">IF($M194="","",COUNTIF(O194:R194,"Y"))</f>
        <v/>
      </c>
      <c r="T194" s="23" t="str">
        <f aca="false">IF($M194="","",SUMPRODUCT(MAX(('QC listings'!$A$5:$A$200=$M194)*'QC listings'!$E$5:$E$200)))</f>
        <v/>
      </c>
      <c r="U194" s="12" t="str">
        <f aca="false">IF($M194="","",IF(T194&gt;=Scoring!$B$11,3,IF(T194&gt;=Scoring!$B$10,2,IF(T194&gt;=Scoring!$B$9,1,0))))</f>
        <v/>
      </c>
      <c r="V194" s="12" t="n">
        <f aca="false">IFERROR(INDEX(Scoring!$B$27:$B$56,MATCH($E194,Scoring!$A$27:$A$56,0)),0)</f>
        <v>0</v>
      </c>
      <c r="W194" s="24" t="n">
        <f aca="false">IF($G194="","",ROUND((Scoring!$B$5-$G194)/30.4375,1))</f>
        <v>2.5</v>
      </c>
      <c r="X194" s="12" t="n">
        <f aca="false">IF($F194="Expired",Scoring!$B$18,IF($G194="",Scoring!$B$17,IF(W194&lt;=Scoring!$B$12,Scoring!$B$13,IF(W194&lt;=Scoring!$B$14,Scoring!$B$15,Scoring!$B$16))))</f>
        <v>2</v>
      </c>
      <c r="Y194" s="15" t="str">
        <f aca="false">IF($M194="","",ROUND((S194*Scoring!$B$6+U194*Scoring!$B$7)*IFERROR(INDEX(Scoring!$B$22:$B$24,MATCH($N194,Scoring!$A$22:$A$24,0)),1)+V194*Scoring!$B$8+X194,2))</f>
        <v/>
      </c>
      <c r="Z194" s="12" t="str">
        <f aca="false">IF($M194="","",IF(SUMPRODUCT(($M$5:$M$249=$M194)*($G$5:$G$249&gt;$G194))&gt;0,0,IF(SUMPRODUCT(($M$5:$M$249=$M194)*($G$5:$G$249=$G194)*(ROW($M$5:$M$249)&lt;ROW($M194)))&gt;0,0,1)))</f>
        <v/>
      </c>
      <c r="AA194" s="12" t="str">
        <f aca="false">IF($Z194=1,RANK($AE194,$AE$5:$AE$249,0),"")</f>
        <v/>
      </c>
      <c r="AB194" s="7" t="s">
        <v>153</v>
      </c>
      <c r="AC194" s="6" t="s">
        <v>162</v>
      </c>
      <c r="AD194" s="6"/>
      <c r="AE194" s="25" t="str">
        <f aca="false">IF($Z194=1,$Y194+$T194/1000000000-ROW()/10000000,"")</f>
        <v/>
      </c>
    </row>
    <row r="195" customFormat="false" ht="23.85" hidden="false" customHeight="false" outlineLevel="0" collapsed="false">
      <c r="A195" s="7" t="s">
        <v>1095</v>
      </c>
      <c r="B195" s="6" t="s">
        <v>939</v>
      </c>
      <c r="C195" s="6" t="s">
        <v>1096</v>
      </c>
      <c r="D195" s="7" t="s">
        <v>757</v>
      </c>
      <c r="E195" s="7" t="s">
        <v>1064</v>
      </c>
      <c r="F195" s="12" t="s">
        <v>158</v>
      </c>
      <c r="G195" s="13" t="n">
        <v>46064</v>
      </c>
      <c r="H195" s="7" t="s">
        <v>1097</v>
      </c>
      <c r="I195" s="6" t="s">
        <v>149</v>
      </c>
      <c r="J195" s="7" t="s">
        <v>60</v>
      </c>
      <c r="K195" s="12"/>
      <c r="L195" s="10" t="s">
        <v>1098</v>
      </c>
      <c r="M195" s="7"/>
      <c r="N195" s="12"/>
      <c r="O195" s="12" t="str">
        <f aca="false">IF($M195="","",IF(COUNTIFS('QC listings'!$A$5:$A$200,$M195,'QC listings'!$C$5:$C$200,O$4,'QC listings'!$F$5:$F$200,"Listing page")+COUNTIFS('QC listings'!$A$5:$A$200,$M195,'QC listings'!$C$5:$C$200,O$4,'QC listings'!$F$5:$F$200,"Brand page")&gt;0,"Y",IF(COUNTIFS('QC listings'!$A$5:$A$200,$M195,'QC listings'!$C$5:$C$200,O$4)&gt;0,"?","–")))</f>
        <v/>
      </c>
      <c r="P195" s="12" t="str">
        <f aca="false">IF($M195="","",IF(COUNTIFS('QC listings'!$A$5:$A$200,$M195,'QC listings'!$C$5:$C$200,P$4,'QC listings'!$F$5:$F$200,"Listing page")+COUNTIFS('QC listings'!$A$5:$A$200,$M195,'QC listings'!$C$5:$C$200,P$4,'QC listings'!$F$5:$F$200,"Brand page")&gt;0,"Y",IF(COUNTIFS('QC listings'!$A$5:$A$200,$M195,'QC listings'!$C$5:$C$200,P$4)&gt;0,"?","–")))</f>
        <v/>
      </c>
      <c r="Q195" s="12" t="str">
        <f aca="false">IF($M195="","",IF(COUNTIFS('QC listings'!$A$5:$A$200,$M195,'QC listings'!$C$5:$C$200,Q$4,'QC listings'!$F$5:$F$200,"Listing page")+COUNTIFS('QC listings'!$A$5:$A$200,$M195,'QC listings'!$C$5:$C$200,Q$4,'QC listings'!$F$5:$F$200,"Brand page")&gt;0,"Y",IF(COUNTIFS('QC listings'!$A$5:$A$200,$M195,'QC listings'!$C$5:$C$200,Q$4)&gt;0,"?","–")))</f>
        <v/>
      </c>
      <c r="R195" s="12" t="str">
        <f aca="false">IF($M195="","",IF(COUNTIFS('QC listings'!$A$5:$A$200,$M195,'QC listings'!$C$5:$C$200,R$4,'QC listings'!$F$5:$F$200,"Listing page")+COUNTIFS('QC listings'!$A$5:$A$200,$M195,'QC listings'!$C$5:$C$200,R$4,'QC listings'!$F$5:$F$200,"Brand page")&gt;0,"Y",IF(COUNTIFS('QC listings'!$A$5:$A$200,$M195,'QC listings'!$C$5:$C$200,R$4)&gt;0,"?","–")))</f>
        <v/>
      </c>
      <c r="S195" s="12" t="str">
        <f aca="false">IF($M195="","",COUNTIF(O195:R195,"Y"))</f>
        <v/>
      </c>
      <c r="T195" s="23" t="str">
        <f aca="false">IF($M195="","",SUMPRODUCT(MAX(('QC listings'!$A$5:$A$200=$M195)*'QC listings'!$E$5:$E$200)))</f>
        <v/>
      </c>
      <c r="U195" s="12" t="str">
        <f aca="false">IF($M195="","",IF(T195&gt;=Scoring!$B$11,3,IF(T195&gt;=Scoring!$B$10,2,IF(T195&gt;=Scoring!$B$9,1,0))))</f>
        <v/>
      </c>
      <c r="V195" s="12" t="n">
        <f aca="false">IFERROR(INDEX(Scoring!$B$27:$B$56,MATCH($E195,Scoring!$A$27:$A$56,0)),0)</f>
        <v>0</v>
      </c>
      <c r="W195" s="24" t="n">
        <f aca="false">IF($G195="","",ROUND((Scoring!$B$5-$G195)/30.4375,1))</f>
        <v>7.7</v>
      </c>
      <c r="X195" s="12" t="n">
        <f aca="false">IF($F195="Expired",Scoring!$B$18,IF($G195="",Scoring!$B$17,IF(W195&lt;=Scoring!$B$12,Scoring!$B$13,IF(W195&lt;=Scoring!$B$14,Scoring!$B$15,Scoring!$B$16))))</f>
        <v>2</v>
      </c>
      <c r="Y195" s="15" t="str">
        <f aca="false">IF($M195="","",ROUND((S195*Scoring!$B$6+U195*Scoring!$B$7)*IFERROR(INDEX(Scoring!$B$22:$B$24,MATCH($N195,Scoring!$A$22:$A$24,0)),1)+V195*Scoring!$B$8+X195,2))</f>
        <v/>
      </c>
      <c r="Z195" s="12" t="str">
        <f aca="false">IF($M195="","",IF(SUMPRODUCT(($M$5:$M$249=$M195)*($G$5:$G$249&gt;$G195))&gt;0,0,IF(SUMPRODUCT(($M$5:$M$249=$M195)*($G$5:$G$249=$G195)*(ROW($M$5:$M$249)&lt;ROW($M195)))&gt;0,0,1)))</f>
        <v/>
      </c>
      <c r="AA195" s="12" t="str">
        <f aca="false">IF($Z195=1,RANK($AE195,$AE$5:$AE$249,0),"")</f>
        <v/>
      </c>
      <c r="AB195" s="7" t="s">
        <v>153</v>
      </c>
      <c r="AC195" s="6" t="s">
        <v>162</v>
      </c>
      <c r="AD195" s="6" t="s">
        <v>1099</v>
      </c>
      <c r="AE195" s="25" t="str">
        <f aca="false">IF($Z195=1,$Y195+$T195/1000000000-ROW()/10000000,"")</f>
        <v/>
      </c>
    </row>
    <row r="196" customFormat="false" ht="23.85" hidden="false" customHeight="false" outlineLevel="0" collapsed="false">
      <c r="A196" s="7" t="s">
        <v>1100</v>
      </c>
      <c r="B196" s="6" t="s">
        <v>939</v>
      </c>
      <c r="C196" s="6" t="s">
        <v>1101</v>
      </c>
      <c r="D196" s="7" t="s">
        <v>757</v>
      </c>
      <c r="E196" s="7" t="s">
        <v>1064</v>
      </c>
      <c r="F196" s="12" t="s">
        <v>158</v>
      </c>
      <c r="G196" s="13" t="n">
        <v>46189</v>
      </c>
      <c r="H196" s="7" t="s">
        <v>1102</v>
      </c>
      <c r="I196" s="6" t="s">
        <v>149</v>
      </c>
      <c r="J196" s="7" t="s">
        <v>60</v>
      </c>
      <c r="K196" s="12"/>
      <c r="L196" s="10" t="s">
        <v>1098</v>
      </c>
      <c r="M196" s="7"/>
      <c r="N196" s="12"/>
      <c r="O196" s="12" t="str">
        <f aca="false">IF($M196="","",IF(COUNTIFS('QC listings'!$A$5:$A$200,$M196,'QC listings'!$C$5:$C$200,O$4,'QC listings'!$F$5:$F$200,"Listing page")+COUNTIFS('QC listings'!$A$5:$A$200,$M196,'QC listings'!$C$5:$C$200,O$4,'QC listings'!$F$5:$F$200,"Brand page")&gt;0,"Y",IF(COUNTIFS('QC listings'!$A$5:$A$200,$M196,'QC listings'!$C$5:$C$200,O$4)&gt;0,"?","–")))</f>
        <v/>
      </c>
      <c r="P196" s="12" t="str">
        <f aca="false">IF($M196="","",IF(COUNTIFS('QC listings'!$A$5:$A$200,$M196,'QC listings'!$C$5:$C$200,P$4,'QC listings'!$F$5:$F$200,"Listing page")+COUNTIFS('QC listings'!$A$5:$A$200,$M196,'QC listings'!$C$5:$C$200,P$4,'QC listings'!$F$5:$F$200,"Brand page")&gt;0,"Y",IF(COUNTIFS('QC listings'!$A$5:$A$200,$M196,'QC listings'!$C$5:$C$200,P$4)&gt;0,"?","–")))</f>
        <v/>
      </c>
      <c r="Q196" s="12" t="str">
        <f aca="false">IF($M196="","",IF(COUNTIFS('QC listings'!$A$5:$A$200,$M196,'QC listings'!$C$5:$C$200,Q$4,'QC listings'!$F$5:$F$200,"Listing page")+COUNTIFS('QC listings'!$A$5:$A$200,$M196,'QC listings'!$C$5:$C$200,Q$4,'QC listings'!$F$5:$F$200,"Brand page")&gt;0,"Y",IF(COUNTIFS('QC listings'!$A$5:$A$200,$M196,'QC listings'!$C$5:$C$200,Q$4)&gt;0,"?","–")))</f>
        <v/>
      </c>
      <c r="R196" s="12" t="str">
        <f aca="false">IF($M196="","",IF(COUNTIFS('QC listings'!$A$5:$A$200,$M196,'QC listings'!$C$5:$C$200,R$4,'QC listings'!$F$5:$F$200,"Listing page")+COUNTIFS('QC listings'!$A$5:$A$200,$M196,'QC listings'!$C$5:$C$200,R$4,'QC listings'!$F$5:$F$200,"Brand page")&gt;0,"Y",IF(COUNTIFS('QC listings'!$A$5:$A$200,$M196,'QC listings'!$C$5:$C$200,R$4)&gt;0,"?","–")))</f>
        <v/>
      </c>
      <c r="S196" s="12" t="str">
        <f aca="false">IF($M196="","",COUNTIF(O196:R196,"Y"))</f>
        <v/>
      </c>
      <c r="T196" s="23" t="str">
        <f aca="false">IF($M196="","",SUMPRODUCT(MAX(('QC listings'!$A$5:$A$200=$M196)*'QC listings'!$E$5:$E$200)))</f>
        <v/>
      </c>
      <c r="U196" s="12" t="str">
        <f aca="false">IF($M196="","",IF(T196&gt;=Scoring!$B$11,3,IF(T196&gt;=Scoring!$B$10,2,IF(T196&gt;=Scoring!$B$9,1,0))))</f>
        <v/>
      </c>
      <c r="V196" s="12" t="n">
        <f aca="false">IFERROR(INDEX(Scoring!$B$27:$B$56,MATCH($E196,Scoring!$A$27:$A$56,0)),0)</f>
        <v>0</v>
      </c>
      <c r="W196" s="24" t="n">
        <f aca="false">IF($G196="","",ROUND((Scoring!$B$5-$G196)/30.4375,1))</f>
        <v>3.5</v>
      </c>
      <c r="X196" s="12" t="n">
        <f aca="false">IF($F196="Expired",Scoring!$B$18,IF($G196="",Scoring!$B$17,IF(W196&lt;=Scoring!$B$12,Scoring!$B$13,IF(W196&lt;=Scoring!$B$14,Scoring!$B$15,Scoring!$B$16))))</f>
        <v>2</v>
      </c>
      <c r="Y196" s="15" t="str">
        <f aca="false">IF($M196="","",ROUND((S196*Scoring!$B$6+U196*Scoring!$B$7)*IFERROR(INDEX(Scoring!$B$22:$B$24,MATCH($N196,Scoring!$A$22:$A$24,0)),1)+V196*Scoring!$B$8+X196,2))</f>
        <v/>
      </c>
      <c r="Z196" s="12" t="str">
        <f aca="false">IF($M196="","",IF(SUMPRODUCT(($M$5:$M$249=$M196)*($G$5:$G$249&gt;$G196))&gt;0,0,IF(SUMPRODUCT(($M$5:$M$249=$M196)*($G$5:$G$249=$G196)*(ROW($M$5:$M$249)&lt;ROW($M196)))&gt;0,0,1)))</f>
        <v/>
      </c>
      <c r="AA196" s="12" t="str">
        <f aca="false">IF($Z196=1,RANK($AE196,$AE$5:$AE$249,0),"")</f>
        <v/>
      </c>
      <c r="AB196" s="7" t="s">
        <v>153</v>
      </c>
      <c r="AC196" s="6" t="s">
        <v>162</v>
      </c>
      <c r="AD196" s="6" t="s">
        <v>1099</v>
      </c>
      <c r="AE196" s="25" t="str">
        <f aca="false">IF($Z196=1,$Y196+$T196/1000000000-ROW()/10000000,"")</f>
        <v/>
      </c>
    </row>
    <row r="197" customFormat="false" ht="23.85" hidden="false" customHeight="false" outlineLevel="0" collapsed="false">
      <c r="A197" s="7" t="s">
        <v>1103</v>
      </c>
      <c r="B197" s="6" t="s">
        <v>939</v>
      </c>
      <c r="C197" s="6" t="s">
        <v>1092</v>
      </c>
      <c r="D197" s="7" t="s">
        <v>757</v>
      </c>
      <c r="E197" s="7" t="s">
        <v>1064</v>
      </c>
      <c r="F197" s="12" t="s">
        <v>158</v>
      </c>
      <c r="G197" s="13" t="n">
        <v>46134</v>
      </c>
      <c r="H197" s="7" t="s">
        <v>1104</v>
      </c>
      <c r="I197" s="6" t="s">
        <v>149</v>
      </c>
      <c r="J197" s="7" t="s">
        <v>60</v>
      </c>
      <c r="K197" s="12"/>
      <c r="L197" s="10" t="s">
        <v>1105</v>
      </c>
      <c r="M197" s="7"/>
      <c r="N197" s="12"/>
      <c r="O197" s="12" t="str">
        <f aca="false">IF($M197="","",IF(COUNTIFS('QC listings'!$A$5:$A$200,$M197,'QC listings'!$C$5:$C$200,O$4,'QC listings'!$F$5:$F$200,"Listing page")+COUNTIFS('QC listings'!$A$5:$A$200,$M197,'QC listings'!$C$5:$C$200,O$4,'QC listings'!$F$5:$F$200,"Brand page")&gt;0,"Y",IF(COUNTIFS('QC listings'!$A$5:$A$200,$M197,'QC listings'!$C$5:$C$200,O$4)&gt;0,"?","–")))</f>
        <v/>
      </c>
      <c r="P197" s="12" t="str">
        <f aca="false">IF($M197="","",IF(COUNTIFS('QC listings'!$A$5:$A$200,$M197,'QC listings'!$C$5:$C$200,P$4,'QC listings'!$F$5:$F$200,"Listing page")+COUNTIFS('QC listings'!$A$5:$A$200,$M197,'QC listings'!$C$5:$C$200,P$4,'QC listings'!$F$5:$F$200,"Brand page")&gt;0,"Y",IF(COUNTIFS('QC listings'!$A$5:$A$200,$M197,'QC listings'!$C$5:$C$200,P$4)&gt;0,"?","–")))</f>
        <v/>
      </c>
      <c r="Q197" s="12" t="str">
        <f aca="false">IF($M197="","",IF(COUNTIFS('QC listings'!$A$5:$A$200,$M197,'QC listings'!$C$5:$C$200,Q$4,'QC listings'!$F$5:$F$200,"Listing page")+COUNTIFS('QC listings'!$A$5:$A$200,$M197,'QC listings'!$C$5:$C$200,Q$4,'QC listings'!$F$5:$F$200,"Brand page")&gt;0,"Y",IF(COUNTIFS('QC listings'!$A$5:$A$200,$M197,'QC listings'!$C$5:$C$200,Q$4)&gt;0,"?","–")))</f>
        <v/>
      </c>
      <c r="R197" s="12" t="str">
        <f aca="false">IF($M197="","",IF(COUNTIFS('QC listings'!$A$5:$A$200,$M197,'QC listings'!$C$5:$C$200,R$4,'QC listings'!$F$5:$F$200,"Listing page")+COUNTIFS('QC listings'!$A$5:$A$200,$M197,'QC listings'!$C$5:$C$200,R$4,'QC listings'!$F$5:$F$200,"Brand page")&gt;0,"Y",IF(COUNTIFS('QC listings'!$A$5:$A$200,$M197,'QC listings'!$C$5:$C$200,R$4)&gt;0,"?","–")))</f>
        <v/>
      </c>
      <c r="S197" s="12" t="str">
        <f aca="false">IF($M197="","",COUNTIF(O197:R197,"Y"))</f>
        <v/>
      </c>
      <c r="T197" s="23" t="str">
        <f aca="false">IF($M197="","",SUMPRODUCT(MAX(('QC listings'!$A$5:$A$200=$M197)*'QC listings'!$E$5:$E$200)))</f>
        <v/>
      </c>
      <c r="U197" s="12" t="str">
        <f aca="false">IF($M197="","",IF(T197&gt;=Scoring!$B$11,3,IF(T197&gt;=Scoring!$B$10,2,IF(T197&gt;=Scoring!$B$9,1,0))))</f>
        <v/>
      </c>
      <c r="V197" s="12" t="n">
        <f aca="false">IFERROR(INDEX(Scoring!$B$27:$B$56,MATCH($E197,Scoring!$A$27:$A$56,0)),0)</f>
        <v>0</v>
      </c>
      <c r="W197" s="24" t="n">
        <f aca="false">IF($G197="","",ROUND((Scoring!$B$5-$G197)/30.4375,1))</f>
        <v>5.4</v>
      </c>
      <c r="X197" s="12" t="n">
        <f aca="false">IF($F197="Expired",Scoring!$B$18,IF($G197="",Scoring!$B$17,IF(W197&lt;=Scoring!$B$12,Scoring!$B$13,IF(W197&lt;=Scoring!$B$14,Scoring!$B$15,Scoring!$B$16))))</f>
        <v>2</v>
      </c>
      <c r="Y197" s="15" t="str">
        <f aca="false">IF($M197="","",ROUND((S197*Scoring!$B$6+U197*Scoring!$B$7)*IFERROR(INDEX(Scoring!$B$22:$B$24,MATCH($N197,Scoring!$A$22:$A$24,0)),1)+V197*Scoring!$B$8+X197,2))</f>
        <v/>
      </c>
      <c r="Z197" s="12" t="str">
        <f aca="false">IF($M197="","",IF(SUMPRODUCT(($M$5:$M$249=$M197)*($G$5:$G$249&gt;$G197))&gt;0,0,IF(SUMPRODUCT(($M$5:$M$249=$M197)*($G$5:$G$249=$G197)*(ROW($M$5:$M$249)&lt;ROW($M197)))&gt;0,0,1)))</f>
        <v/>
      </c>
      <c r="AA197" s="12" t="str">
        <f aca="false">IF($Z197=1,RANK($AE197,$AE$5:$AE$249,0),"")</f>
        <v/>
      </c>
      <c r="AB197" s="7" t="s">
        <v>153</v>
      </c>
      <c r="AC197" s="6" t="s">
        <v>162</v>
      </c>
      <c r="AD197" s="6"/>
      <c r="AE197" s="25" t="str">
        <f aca="false">IF($Z197=1,$Y197+$T197/1000000000-ROW()/10000000,"")</f>
        <v/>
      </c>
    </row>
    <row r="198" customFormat="false" ht="23.85" hidden="false" customHeight="false" outlineLevel="0" collapsed="false">
      <c r="A198" s="7" t="s">
        <v>1106</v>
      </c>
      <c r="B198" s="6" t="s">
        <v>1107</v>
      </c>
      <c r="C198" s="6" t="s">
        <v>1108</v>
      </c>
      <c r="D198" s="7" t="s">
        <v>757</v>
      </c>
      <c r="E198" s="7" t="s">
        <v>1064</v>
      </c>
      <c r="F198" s="12" t="s">
        <v>158</v>
      </c>
      <c r="G198" s="13" t="n">
        <v>45827</v>
      </c>
      <c r="H198" s="7" t="s">
        <v>1109</v>
      </c>
      <c r="I198" s="6" t="s">
        <v>149</v>
      </c>
      <c r="J198" s="7" t="s">
        <v>60</v>
      </c>
      <c r="K198" s="12"/>
      <c r="L198" s="10" t="s">
        <v>1110</v>
      </c>
      <c r="M198" s="7"/>
      <c r="N198" s="12"/>
      <c r="O198" s="12" t="str">
        <f aca="false">IF($M198="","",IF(COUNTIFS('QC listings'!$A$5:$A$200,$M198,'QC listings'!$C$5:$C$200,O$4,'QC listings'!$F$5:$F$200,"Listing page")+COUNTIFS('QC listings'!$A$5:$A$200,$M198,'QC listings'!$C$5:$C$200,O$4,'QC listings'!$F$5:$F$200,"Brand page")&gt;0,"Y",IF(COUNTIFS('QC listings'!$A$5:$A$200,$M198,'QC listings'!$C$5:$C$200,O$4)&gt;0,"?","–")))</f>
        <v/>
      </c>
      <c r="P198" s="12" t="str">
        <f aca="false">IF($M198="","",IF(COUNTIFS('QC listings'!$A$5:$A$200,$M198,'QC listings'!$C$5:$C$200,P$4,'QC listings'!$F$5:$F$200,"Listing page")+COUNTIFS('QC listings'!$A$5:$A$200,$M198,'QC listings'!$C$5:$C$200,P$4,'QC listings'!$F$5:$F$200,"Brand page")&gt;0,"Y",IF(COUNTIFS('QC listings'!$A$5:$A$200,$M198,'QC listings'!$C$5:$C$200,P$4)&gt;0,"?","–")))</f>
        <v/>
      </c>
      <c r="Q198" s="12" t="str">
        <f aca="false">IF($M198="","",IF(COUNTIFS('QC listings'!$A$5:$A$200,$M198,'QC listings'!$C$5:$C$200,Q$4,'QC listings'!$F$5:$F$200,"Listing page")+COUNTIFS('QC listings'!$A$5:$A$200,$M198,'QC listings'!$C$5:$C$200,Q$4,'QC listings'!$F$5:$F$200,"Brand page")&gt;0,"Y",IF(COUNTIFS('QC listings'!$A$5:$A$200,$M198,'QC listings'!$C$5:$C$200,Q$4)&gt;0,"?","–")))</f>
        <v/>
      </c>
      <c r="R198" s="12" t="str">
        <f aca="false">IF($M198="","",IF(COUNTIFS('QC listings'!$A$5:$A$200,$M198,'QC listings'!$C$5:$C$200,R$4,'QC listings'!$F$5:$F$200,"Listing page")+COUNTIFS('QC listings'!$A$5:$A$200,$M198,'QC listings'!$C$5:$C$200,R$4,'QC listings'!$F$5:$F$200,"Brand page")&gt;0,"Y",IF(COUNTIFS('QC listings'!$A$5:$A$200,$M198,'QC listings'!$C$5:$C$200,R$4)&gt;0,"?","–")))</f>
        <v/>
      </c>
      <c r="S198" s="12" t="str">
        <f aca="false">IF($M198="","",COUNTIF(O198:R198,"Y"))</f>
        <v/>
      </c>
      <c r="T198" s="23" t="str">
        <f aca="false">IF($M198="","",SUMPRODUCT(MAX(('QC listings'!$A$5:$A$200=$M198)*'QC listings'!$E$5:$E$200)))</f>
        <v/>
      </c>
      <c r="U198" s="12" t="str">
        <f aca="false">IF($M198="","",IF(T198&gt;=Scoring!$B$11,3,IF(T198&gt;=Scoring!$B$10,2,IF(T198&gt;=Scoring!$B$9,1,0))))</f>
        <v/>
      </c>
      <c r="V198" s="12" t="n">
        <f aca="false">IFERROR(INDEX(Scoring!$B$27:$B$56,MATCH($E198,Scoring!$A$27:$A$56,0)),0)</f>
        <v>0</v>
      </c>
      <c r="W198" s="24" t="n">
        <f aca="false">IF($G198="","",ROUND((Scoring!$B$5-$G198)/30.4375,1))</f>
        <v>15.4</v>
      </c>
      <c r="X198" s="12" t="n">
        <f aca="false">IF($F198="Expired",Scoring!$B$18,IF($G198="",Scoring!$B$17,IF(W198&lt;=Scoring!$B$12,Scoring!$B$13,IF(W198&lt;=Scoring!$B$14,Scoring!$B$15,Scoring!$B$16))))</f>
        <v>1</v>
      </c>
      <c r="Y198" s="15" t="str">
        <f aca="false">IF($M198="","",ROUND((S198*Scoring!$B$6+U198*Scoring!$B$7)*IFERROR(INDEX(Scoring!$B$22:$B$24,MATCH($N198,Scoring!$A$22:$A$24,0)),1)+V198*Scoring!$B$8+X198,2))</f>
        <v/>
      </c>
      <c r="Z198" s="12" t="str">
        <f aca="false">IF($M198="","",IF(SUMPRODUCT(($M$5:$M$249=$M198)*($G$5:$G$249&gt;$G198))&gt;0,0,IF(SUMPRODUCT(($M$5:$M$249=$M198)*($G$5:$G$249=$G198)*(ROW($M$5:$M$249)&lt;ROW($M198)))&gt;0,0,1)))</f>
        <v/>
      </c>
      <c r="AA198" s="12" t="str">
        <f aca="false">IF($Z198=1,RANK($AE198,$AE$5:$AE$249,0),"")</f>
        <v/>
      </c>
      <c r="AB198" s="7" t="s">
        <v>153</v>
      </c>
      <c r="AC198" s="6" t="s">
        <v>162</v>
      </c>
      <c r="AD198" s="6"/>
      <c r="AE198" s="25" t="str">
        <f aca="false">IF($Z198=1,$Y198+$T198/1000000000-ROW()/10000000,"")</f>
        <v/>
      </c>
    </row>
    <row r="199" customFormat="false" ht="23.85" hidden="false" customHeight="false" outlineLevel="0" collapsed="false">
      <c r="A199" s="7" t="s">
        <v>1111</v>
      </c>
      <c r="B199" s="6" t="s">
        <v>1107</v>
      </c>
      <c r="C199" s="6" t="s">
        <v>1112</v>
      </c>
      <c r="D199" s="7" t="s">
        <v>757</v>
      </c>
      <c r="E199" s="7" t="s">
        <v>1064</v>
      </c>
      <c r="F199" s="12" t="s">
        <v>158</v>
      </c>
      <c r="G199" s="13" t="n">
        <v>46008</v>
      </c>
      <c r="H199" s="7" t="s">
        <v>1113</v>
      </c>
      <c r="I199" s="6" t="s">
        <v>149</v>
      </c>
      <c r="J199" s="7" t="s">
        <v>60</v>
      </c>
      <c r="K199" s="12"/>
      <c r="L199" s="10" t="s">
        <v>1114</v>
      </c>
      <c r="M199" s="7"/>
      <c r="N199" s="12"/>
      <c r="O199" s="12" t="str">
        <f aca="false">IF($M199="","",IF(COUNTIFS('QC listings'!$A$5:$A$200,$M199,'QC listings'!$C$5:$C$200,O$4,'QC listings'!$F$5:$F$200,"Listing page")+COUNTIFS('QC listings'!$A$5:$A$200,$M199,'QC listings'!$C$5:$C$200,O$4,'QC listings'!$F$5:$F$200,"Brand page")&gt;0,"Y",IF(COUNTIFS('QC listings'!$A$5:$A$200,$M199,'QC listings'!$C$5:$C$200,O$4)&gt;0,"?","–")))</f>
        <v/>
      </c>
      <c r="P199" s="12" t="str">
        <f aca="false">IF($M199="","",IF(COUNTIFS('QC listings'!$A$5:$A$200,$M199,'QC listings'!$C$5:$C$200,P$4,'QC listings'!$F$5:$F$200,"Listing page")+COUNTIFS('QC listings'!$A$5:$A$200,$M199,'QC listings'!$C$5:$C$200,P$4,'QC listings'!$F$5:$F$200,"Brand page")&gt;0,"Y",IF(COUNTIFS('QC listings'!$A$5:$A$200,$M199,'QC listings'!$C$5:$C$200,P$4)&gt;0,"?","–")))</f>
        <v/>
      </c>
      <c r="Q199" s="12" t="str">
        <f aca="false">IF($M199="","",IF(COUNTIFS('QC listings'!$A$5:$A$200,$M199,'QC listings'!$C$5:$C$200,Q$4,'QC listings'!$F$5:$F$200,"Listing page")+COUNTIFS('QC listings'!$A$5:$A$200,$M199,'QC listings'!$C$5:$C$200,Q$4,'QC listings'!$F$5:$F$200,"Brand page")&gt;0,"Y",IF(COUNTIFS('QC listings'!$A$5:$A$200,$M199,'QC listings'!$C$5:$C$200,Q$4)&gt;0,"?","–")))</f>
        <v/>
      </c>
      <c r="R199" s="12" t="str">
        <f aca="false">IF($M199="","",IF(COUNTIFS('QC listings'!$A$5:$A$200,$M199,'QC listings'!$C$5:$C$200,R$4,'QC listings'!$F$5:$F$200,"Listing page")+COUNTIFS('QC listings'!$A$5:$A$200,$M199,'QC listings'!$C$5:$C$200,R$4,'QC listings'!$F$5:$F$200,"Brand page")&gt;0,"Y",IF(COUNTIFS('QC listings'!$A$5:$A$200,$M199,'QC listings'!$C$5:$C$200,R$4)&gt;0,"?","–")))</f>
        <v/>
      </c>
      <c r="S199" s="12" t="str">
        <f aca="false">IF($M199="","",COUNTIF(O199:R199,"Y"))</f>
        <v/>
      </c>
      <c r="T199" s="23" t="str">
        <f aca="false">IF($M199="","",SUMPRODUCT(MAX(('QC listings'!$A$5:$A$200=$M199)*'QC listings'!$E$5:$E$200)))</f>
        <v/>
      </c>
      <c r="U199" s="12" t="str">
        <f aca="false">IF($M199="","",IF(T199&gt;=Scoring!$B$11,3,IF(T199&gt;=Scoring!$B$10,2,IF(T199&gt;=Scoring!$B$9,1,0))))</f>
        <v/>
      </c>
      <c r="V199" s="12" t="n">
        <f aca="false">IFERROR(INDEX(Scoring!$B$27:$B$56,MATCH($E199,Scoring!$A$27:$A$56,0)),0)</f>
        <v>0</v>
      </c>
      <c r="W199" s="24" t="n">
        <f aca="false">IF($G199="","",ROUND((Scoring!$B$5-$G199)/30.4375,1))</f>
        <v>9.5</v>
      </c>
      <c r="X199" s="12" t="n">
        <f aca="false">IF($F199="Expired",Scoring!$B$18,IF($G199="",Scoring!$B$17,IF(W199&lt;=Scoring!$B$12,Scoring!$B$13,IF(W199&lt;=Scoring!$B$14,Scoring!$B$15,Scoring!$B$16))))</f>
        <v>2</v>
      </c>
      <c r="Y199" s="15" t="str">
        <f aca="false">IF($M199="","",ROUND((S199*Scoring!$B$6+U199*Scoring!$B$7)*IFERROR(INDEX(Scoring!$B$22:$B$24,MATCH($N199,Scoring!$A$22:$A$24,0)),1)+V199*Scoring!$B$8+X199,2))</f>
        <v/>
      </c>
      <c r="Z199" s="12" t="str">
        <f aca="false">IF($M199="","",IF(SUMPRODUCT(($M$5:$M$249=$M199)*($G$5:$G$249&gt;$G199))&gt;0,0,IF(SUMPRODUCT(($M$5:$M$249=$M199)*($G$5:$G$249=$G199)*(ROW($M$5:$M$249)&lt;ROW($M199)))&gt;0,0,1)))</f>
        <v/>
      </c>
      <c r="AA199" s="12" t="str">
        <f aca="false">IF($Z199=1,RANK($AE199,$AE$5:$AE$249,0),"")</f>
        <v/>
      </c>
      <c r="AB199" s="7" t="s">
        <v>153</v>
      </c>
      <c r="AC199" s="6" t="s">
        <v>162</v>
      </c>
      <c r="AD199" s="6"/>
      <c r="AE199" s="25" t="str">
        <f aca="false">IF($Z199=1,$Y199+$T199/1000000000-ROW()/10000000,"")</f>
        <v/>
      </c>
    </row>
    <row r="200" customFormat="false" ht="23.85" hidden="false" customHeight="false" outlineLevel="0" collapsed="false">
      <c r="A200" s="7" t="s">
        <v>1115</v>
      </c>
      <c r="B200" s="6" t="s">
        <v>236</v>
      </c>
      <c r="C200" s="6" t="s">
        <v>1116</v>
      </c>
      <c r="D200" s="7" t="s">
        <v>757</v>
      </c>
      <c r="E200" s="7" t="s">
        <v>1064</v>
      </c>
      <c r="F200" s="12" t="s">
        <v>158</v>
      </c>
      <c r="G200" s="13" t="n">
        <v>45943</v>
      </c>
      <c r="H200" s="7" t="s">
        <v>1117</v>
      </c>
      <c r="I200" s="6" t="s">
        <v>149</v>
      </c>
      <c r="J200" s="7" t="s">
        <v>60</v>
      </c>
      <c r="K200" s="12"/>
      <c r="L200" s="10" t="s">
        <v>1118</v>
      </c>
      <c r="M200" s="7"/>
      <c r="N200" s="12"/>
      <c r="O200" s="12" t="str">
        <f aca="false">IF($M200="","",IF(COUNTIFS('QC listings'!$A$5:$A$200,$M200,'QC listings'!$C$5:$C$200,O$4,'QC listings'!$F$5:$F$200,"Listing page")+COUNTIFS('QC listings'!$A$5:$A$200,$M200,'QC listings'!$C$5:$C$200,O$4,'QC listings'!$F$5:$F$200,"Brand page")&gt;0,"Y",IF(COUNTIFS('QC listings'!$A$5:$A$200,$M200,'QC listings'!$C$5:$C$200,O$4)&gt;0,"?","–")))</f>
        <v/>
      </c>
      <c r="P200" s="12" t="str">
        <f aca="false">IF($M200="","",IF(COUNTIFS('QC listings'!$A$5:$A$200,$M200,'QC listings'!$C$5:$C$200,P$4,'QC listings'!$F$5:$F$200,"Listing page")+COUNTIFS('QC listings'!$A$5:$A$200,$M200,'QC listings'!$C$5:$C$200,P$4,'QC listings'!$F$5:$F$200,"Brand page")&gt;0,"Y",IF(COUNTIFS('QC listings'!$A$5:$A$200,$M200,'QC listings'!$C$5:$C$200,P$4)&gt;0,"?","–")))</f>
        <v/>
      </c>
      <c r="Q200" s="12" t="str">
        <f aca="false">IF($M200="","",IF(COUNTIFS('QC listings'!$A$5:$A$200,$M200,'QC listings'!$C$5:$C$200,Q$4,'QC listings'!$F$5:$F$200,"Listing page")+COUNTIFS('QC listings'!$A$5:$A$200,$M200,'QC listings'!$C$5:$C$200,Q$4,'QC listings'!$F$5:$F$200,"Brand page")&gt;0,"Y",IF(COUNTIFS('QC listings'!$A$5:$A$200,$M200,'QC listings'!$C$5:$C$200,Q$4)&gt;0,"?","–")))</f>
        <v/>
      </c>
      <c r="R200" s="12" t="str">
        <f aca="false">IF($M200="","",IF(COUNTIFS('QC listings'!$A$5:$A$200,$M200,'QC listings'!$C$5:$C$200,R$4,'QC listings'!$F$5:$F$200,"Listing page")+COUNTIFS('QC listings'!$A$5:$A$200,$M200,'QC listings'!$C$5:$C$200,R$4,'QC listings'!$F$5:$F$200,"Brand page")&gt;0,"Y",IF(COUNTIFS('QC listings'!$A$5:$A$200,$M200,'QC listings'!$C$5:$C$200,R$4)&gt;0,"?","–")))</f>
        <v/>
      </c>
      <c r="S200" s="12" t="str">
        <f aca="false">IF($M200="","",COUNTIF(O200:R200,"Y"))</f>
        <v/>
      </c>
      <c r="T200" s="23" t="str">
        <f aca="false">IF($M200="","",SUMPRODUCT(MAX(('QC listings'!$A$5:$A$200=$M200)*'QC listings'!$E$5:$E$200)))</f>
        <v/>
      </c>
      <c r="U200" s="12" t="str">
        <f aca="false">IF($M200="","",IF(T200&gt;=Scoring!$B$11,3,IF(T200&gt;=Scoring!$B$10,2,IF(T200&gt;=Scoring!$B$9,1,0))))</f>
        <v/>
      </c>
      <c r="V200" s="12" t="n">
        <f aca="false">IFERROR(INDEX(Scoring!$B$27:$B$56,MATCH($E200,Scoring!$A$27:$A$56,0)),0)</f>
        <v>0</v>
      </c>
      <c r="W200" s="24" t="n">
        <f aca="false">IF($G200="","",ROUND((Scoring!$B$5-$G200)/30.4375,1))</f>
        <v>11.6</v>
      </c>
      <c r="X200" s="12" t="n">
        <f aca="false">IF($F200="Expired",Scoring!$B$18,IF($G200="",Scoring!$B$17,IF(W200&lt;=Scoring!$B$12,Scoring!$B$13,IF(W200&lt;=Scoring!$B$14,Scoring!$B$15,Scoring!$B$16))))</f>
        <v>2</v>
      </c>
      <c r="Y200" s="15" t="str">
        <f aca="false">IF($M200="","",ROUND((S200*Scoring!$B$6+U200*Scoring!$B$7)*IFERROR(INDEX(Scoring!$B$22:$B$24,MATCH($N200,Scoring!$A$22:$A$24,0)),1)+V200*Scoring!$B$8+X200,2))</f>
        <v/>
      </c>
      <c r="Z200" s="12" t="str">
        <f aca="false">IF($M200="","",IF(SUMPRODUCT(($M$5:$M$249=$M200)*($G$5:$G$249&gt;$G200))&gt;0,0,IF(SUMPRODUCT(($M$5:$M$249=$M200)*($G$5:$G$249=$G200)*(ROW($M$5:$M$249)&lt;ROW($M200)))&gt;0,0,1)))</f>
        <v/>
      </c>
      <c r="AA200" s="12" t="str">
        <f aca="false">IF($Z200=1,RANK($AE200,$AE$5:$AE$249,0),"")</f>
        <v/>
      </c>
      <c r="AB200" s="7" t="s">
        <v>153</v>
      </c>
      <c r="AC200" s="6" t="s">
        <v>162</v>
      </c>
      <c r="AD200" s="6"/>
      <c r="AE200" s="25" t="str">
        <f aca="false">IF($Z200=1,$Y200+$T200/1000000000-ROW()/10000000,"")</f>
        <v/>
      </c>
    </row>
    <row r="201" customFormat="false" ht="23.85" hidden="false" customHeight="false" outlineLevel="0" collapsed="false">
      <c r="A201" s="7" t="s">
        <v>1119</v>
      </c>
      <c r="B201" s="6" t="s">
        <v>509</v>
      </c>
      <c r="C201" s="6" t="s">
        <v>1120</v>
      </c>
      <c r="D201" s="7" t="s">
        <v>757</v>
      </c>
      <c r="E201" s="7" t="s">
        <v>1064</v>
      </c>
      <c r="F201" s="12" t="s">
        <v>725</v>
      </c>
      <c r="G201" s="13" t="n">
        <v>46282</v>
      </c>
      <c r="H201" s="7" t="s">
        <v>1121</v>
      </c>
      <c r="I201" s="6" t="s">
        <v>999</v>
      </c>
      <c r="J201" s="7" t="s">
        <v>1000</v>
      </c>
      <c r="K201" s="12"/>
      <c r="L201" s="10" t="s">
        <v>1122</v>
      </c>
      <c r="M201" s="7"/>
      <c r="N201" s="12"/>
      <c r="O201" s="12" t="str">
        <f aca="false">IF($M201="","",IF(COUNTIFS('QC listings'!$A$5:$A$200,$M201,'QC listings'!$C$5:$C$200,O$4,'QC listings'!$F$5:$F$200,"Listing page")+COUNTIFS('QC listings'!$A$5:$A$200,$M201,'QC listings'!$C$5:$C$200,O$4,'QC listings'!$F$5:$F$200,"Brand page")&gt;0,"Y",IF(COUNTIFS('QC listings'!$A$5:$A$200,$M201,'QC listings'!$C$5:$C$200,O$4)&gt;0,"?","–")))</f>
        <v/>
      </c>
      <c r="P201" s="12" t="str">
        <f aca="false">IF($M201="","",IF(COUNTIFS('QC listings'!$A$5:$A$200,$M201,'QC listings'!$C$5:$C$200,P$4,'QC listings'!$F$5:$F$200,"Listing page")+COUNTIFS('QC listings'!$A$5:$A$200,$M201,'QC listings'!$C$5:$C$200,P$4,'QC listings'!$F$5:$F$200,"Brand page")&gt;0,"Y",IF(COUNTIFS('QC listings'!$A$5:$A$200,$M201,'QC listings'!$C$5:$C$200,P$4)&gt;0,"?","–")))</f>
        <v/>
      </c>
      <c r="Q201" s="12" t="str">
        <f aca="false">IF($M201="","",IF(COUNTIFS('QC listings'!$A$5:$A$200,$M201,'QC listings'!$C$5:$C$200,Q$4,'QC listings'!$F$5:$F$200,"Listing page")+COUNTIFS('QC listings'!$A$5:$A$200,$M201,'QC listings'!$C$5:$C$200,Q$4,'QC listings'!$F$5:$F$200,"Brand page")&gt;0,"Y",IF(COUNTIFS('QC listings'!$A$5:$A$200,$M201,'QC listings'!$C$5:$C$200,Q$4)&gt;0,"?","–")))</f>
        <v/>
      </c>
      <c r="R201" s="12" t="str">
        <f aca="false">IF($M201="","",IF(COUNTIFS('QC listings'!$A$5:$A$200,$M201,'QC listings'!$C$5:$C$200,R$4,'QC listings'!$F$5:$F$200,"Listing page")+COUNTIFS('QC listings'!$A$5:$A$200,$M201,'QC listings'!$C$5:$C$200,R$4,'QC listings'!$F$5:$F$200,"Brand page")&gt;0,"Y",IF(COUNTIFS('QC listings'!$A$5:$A$200,$M201,'QC listings'!$C$5:$C$200,R$4)&gt;0,"?","–")))</f>
        <v/>
      </c>
      <c r="S201" s="12" t="str">
        <f aca="false">IF($M201="","",COUNTIF(O201:R201,"Y"))</f>
        <v/>
      </c>
      <c r="T201" s="23" t="str">
        <f aca="false">IF($M201="","",SUMPRODUCT(MAX(('QC listings'!$A$5:$A$200=$M201)*'QC listings'!$E$5:$E$200)))</f>
        <v/>
      </c>
      <c r="U201" s="12" t="str">
        <f aca="false">IF($M201="","",IF(T201&gt;=Scoring!$B$11,3,IF(T201&gt;=Scoring!$B$10,2,IF(T201&gt;=Scoring!$B$9,1,0))))</f>
        <v/>
      </c>
      <c r="V201" s="12" t="n">
        <f aca="false">IFERROR(INDEX(Scoring!$B$27:$B$56,MATCH($E201,Scoring!$A$27:$A$56,0)),0)</f>
        <v>0</v>
      </c>
      <c r="W201" s="24" t="n">
        <f aca="false">IF($G201="","",ROUND((Scoring!$B$5-$G201)/30.4375,1))</f>
        <v>0.5</v>
      </c>
      <c r="X201" s="12" t="n">
        <f aca="false">IF($F201="Expired",Scoring!$B$18,IF($G201="",Scoring!$B$17,IF(W201&lt;=Scoring!$B$12,Scoring!$B$13,IF(W201&lt;=Scoring!$B$14,Scoring!$B$15,Scoring!$B$16))))</f>
        <v>2</v>
      </c>
      <c r="Y201" s="15" t="str">
        <f aca="false">IF($M201="","",ROUND((S201*Scoring!$B$6+U201*Scoring!$B$7)*IFERROR(INDEX(Scoring!$B$22:$B$24,MATCH($N201,Scoring!$A$22:$A$24,0)),1)+V201*Scoring!$B$8+X201,2))</f>
        <v/>
      </c>
      <c r="Z201" s="12" t="str">
        <f aca="false">IF($M201="","",IF(SUMPRODUCT(($M$5:$M$249=$M201)*($G$5:$G$249&gt;$G201))&gt;0,0,IF(SUMPRODUCT(($M$5:$M$249=$M201)*($G$5:$G$249=$G201)*(ROW($M$5:$M$249)&lt;ROW($M201)))&gt;0,0,1)))</f>
        <v/>
      </c>
      <c r="AA201" s="12" t="str">
        <f aca="false">IF($Z201=1,RANK($AE201,$AE$5:$AE$249,0),"")</f>
        <v/>
      </c>
      <c r="AB201" s="7" t="s">
        <v>1002</v>
      </c>
      <c r="AC201" s="6" t="s">
        <v>1003</v>
      </c>
      <c r="AD201" s="6" t="s">
        <v>1004</v>
      </c>
      <c r="AE201" s="25" t="str">
        <f aca="false">IF($Z201=1,$Y201+$T201/1000000000-ROW()/10000000,"")</f>
        <v/>
      </c>
    </row>
    <row r="202" customFormat="false" ht="23.85" hidden="false" customHeight="false" outlineLevel="0" collapsed="false">
      <c r="A202" s="7" t="s">
        <v>1123</v>
      </c>
      <c r="B202" s="6" t="s">
        <v>1036</v>
      </c>
      <c r="C202" s="6" t="s">
        <v>1124</v>
      </c>
      <c r="D202" s="7" t="s">
        <v>757</v>
      </c>
      <c r="E202" s="7" t="s">
        <v>1064</v>
      </c>
      <c r="F202" s="12" t="s">
        <v>158</v>
      </c>
      <c r="G202" s="13" t="n">
        <v>46260</v>
      </c>
      <c r="H202" s="7" t="s">
        <v>1125</v>
      </c>
      <c r="I202" s="6" t="s">
        <v>149</v>
      </c>
      <c r="J202" s="7" t="s">
        <v>60</v>
      </c>
      <c r="K202" s="12"/>
      <c r="L202" s="10" t="s">
        <v>1126</v>
      </c>
      <c r="M202" s="7"/>
      <c r="N202" s="12"/>
      <c r="O202" s="12" t="str">
        <f aca="false">IF($M202="","",IF(COUNTIFS('QC listings'!$A$5:$A$200,$M202,'QC listings'!$C$5:$C$200,O$4,'QC listings'!$F$5:$F$200,"Listing page")+COUNTIFS('QC listings'!$A$5:$A$200,$M202,'QC listings'!$C$5:$C$200,O$4,'QC listings'!$F$5:$F$200,"Brand page")&gt;0,"Y",IF(COUNTIFS('QC listings'!$A$5:$A$200,$M202,'QC listings'!$C$5:$C$200,O$4)&gt;0,"?","–")))</f>
        <v/>
      </c>
      <c r="P202" s="12" t="str">
        <f aca="false">IF($M202="","",IF(COUNTIFS('QC listings'!$A$5:$A$200,$M202,'QC listings'!$C$5:$C$200,P$4,'QC listings'!$F$5:$F$200,"Listing page")+COUNTIFS('QC listings'!$A$5:$A$200,$M202,'QC listings'!$C$5:$C$200,P$4,'QC listings'!$F$5:$F$200,"Brand page")&gt;0,"Y",IF(COUNTIFS('QC listings'!$A$5:$A$200,$M202,'QC listings'!$C$5:$C$200,P$4)&gt;0,"?","–")))</f>
        <v/>
      </c>
      <c r="Q202" s="12" t="str">
        <f aca="false">IF($M202="","",IF(COUNTIFS('QC listings'!$A$5:$A$200,$M202,'QC listings'!$C$5:$C$200,Q$4,'QC listings'!$F$5:$F$200,"Listing page")+COUNTIFS('QC listings'!$A$5:$A$200,$M202,'QC listings'!$C$5:$C$200,Q$4,'QC listings'!$F$5:$F$200,"Brand page")&gt;0,"Y",IF(COUNTIFS('QC listings'!$A$5:$A$200,$M202,'QC listings'!$C$5:$C$200,Q$4)&gt;0,"?","–")))</f>
        <v/>
      </c>
      <c r="R202" s="12" t="str">
        <f aca="false">IF($M202="","",IF(COUNTIFS('QC listings'!$A$5:$A$200,$M202,'QC listings'!$C$5:$C$200,R$4,'QC listings'!$F$5:$F$200,"Listing page")+COUNTIFS('QC listings'!$A$5:$A$200,$M202,'QC listings'!$C$5:$C$200,R$4,'QC listings'!$F$5:$F$200,"Brand page")&gt;0,"Y",IF(COUNTIFS('QC listings'!$A$5:$A$200,$M202,'QC listings'!$C$5:$C$200,R$4)&gt;0,"?","–")))</f>
        <v/>
      </c>
      <c r="S202" s="12" t="str">
        <f aca="false">IF($M202="","",COUNTIF(O202:R202,"Y"))</f>
        <v/>
      </c>
      <c r="T202" s="23" t="str">
        <f aca="false">IF($M202="","",SUMPRODUCT(MAX(('QC listings'!$A$5:$A$200=$M202)*'QC listings'!$E$5:$E$200)))</f>
        <v/>
      </c>
      <c r="U202" s="12" t="str">
        <f aca="false">IF($M202="","",IF(T202&gt;=Scoring!$B$11,3,IF(T202&gt;=Scoring!$B$10,2,IF(T202&gt;=Scoring!$B$9,1,0))))</f>
        <v/>
      </c>
      <c r="V202" s="12" t="n">
        <f aca="false">IFERROR(INDEX(Scoring!$B$27:$B$56,MATCH($E202,Scoring!$A$27:$A$56,0)),0)</f>
        <v>0</v>
      </c>
      <c r="W202" s="24" t="n">
        <f aca="false">IF($G202="","",ROUND((Scoring!$B$5-$G202)/30.4375,1))</f>
        <v>1.2</v>
      </c>
      <c r="X202" s="12" t="n">
        <f aca="false">IF($F202="Expired",Scoring!$B$18,IF($G202="",Scoring!$B$17,IF(W202&lt;=Scoring!$B$12,Scoring!$B$13,IF(W202&lt;=Scoring!$B$14,Scoring!$B$15,Scoring!$B$16))))</f>
        <v>2</v>
      </c>
      <c r="Y202" s="15" t="str">
        <f aca="false">IF($M202="","",ROUND((S202*Scoring!$B$6+U202*Scoring!$B$7)*IFERROR(INDEX(Scoring!$B$22:$B$24,MATCH($N202,Scoring!$A$22:$A$24,0)),1)+V202*Scoring!$B$8+X202,2))</f>
        <v/>
      </c>
      <c r="Z202" s="12" t="str">
        <f aca="false">IF($M202="","",IF(SUMPRODUCT(($M$5:$M$249=$M202)*($G$5:$G$249&gt;$G202))&gt;0,0,IF(SUMPRODUCT(($M$5:$M$249=$M202)*($G$5:$G$249=$G202)*(ROW($M$5:$M$249)&lt;ROW($M202)))&gt;0,0,1)))</f>
        <v/>
      </c>
      <c r="AA202" s="12" t="str">
        <f aca="false">IF($Z202=1,RANK($AE202,$AE$5:$AE$249,0),"")</f>
        <v/>
      </c>
      <c r="AB202" s="7" t="s">
        <v>153</v>
      </c>
      <c r="AC202" s="6" t="s">
        <v>162</v>
      </c>
      <c r="AD202" s="6"/>
      <c r="AE202" s="25" t="str">
        <f aca="false">IF($Z202=1,$Y202+$T202/1000000000-ROW()/10000000,"")</f>
        <v/>
      </c>
    </row>
    <row r="203" customFormat="false" ht="23.85" hidden="false" customHeight="false" outlineLevel="0" collapsed="false">
      <c r="A203" s="7" t="s">
        <v>1127</v>
      </c>
      <c r="B203" s="6" t="s">
        <v>674</v>
      </c>
      <c r="C203" s="6" t="s">
        <v>1128</v>
      </c>
      <c r="D203" s="7" t="s">
        <v>757</v>
      </c>
      <c r="E203" s="7" t="s">
        <v>1129</v>
      </c>
      <c r="F203" s="12" t="s">
        <v>158</v>
      </c>
      <c r="G203" s="13" t="n">
        <v>45751</v>
      </c>
      <c r="H203" s="7" t="s">
        <v>1130</v>
      </c>
      <c r="I203" s="6" t="s">
        <v>149</v>
      </c>
      <c r="J203" s="7" t="s">
        <v>60</v>
      </c>
      <c r="K203" s="12"/>
      <c r="L203" s="10" t="s">
        <v>1131</v>
      </c>
      <c r="M203" s="7"/>
      <c r="N203" s="12"/>
      <c r="O203" s="12" t="str">
        <f aca="false">IF($M203="","",IF(COUNTIFS('QC listings'!$A$5:$A$200,$M203,'QC listings'!$C$5:$C$200,O$4,'QC listings'!$F$5:$F$200,"Listing page")+COUNTIFS('QC listings'!$A$5:$A$200,$M203,'QC listings'!$C$5:$C$200,O$4,'QC listings'!$F$5:$F$200,"Brand page")&gt;0,"Y",IF(COUNTIFS('QC listings'!$A$5:$A$200,$M203,'QC listings'!$C$5:$C$200,O$4)&gt;0,"?","–")))</f>
        <v/>
      </c>
      <c r="P203" s="12" t="str">
        <f aca="false">IF($M203="","",IF(COUNTIFS('QC listings'!$A$5:$A$200,$M203,'QC listings'!$C$5:$C$200,P$4,'QC listings'!$F$5:$F$200,"Listing page")+COUNTIFS('QC listings'!$A$5:$A$200,$M203,'QC listings'!$C$5:$C$200,P$4,'QC listings'!$F$5:$F$200,"Brand page")&gt;0,"Y",IF(COUNTIFS('QC listings'!$A$5:$A$200,$M203,'QC listings'!$C$5:$C$200,P$4)&gt;0,"?","–")))</f>
        <v/>
      </c>
      <c r="Q203" s="12" t="str">
        <f aca="false">IF($M203="","",IF(COUNTIFS('QC listings'!$A$5:$A$200,$M203,'QC listings'!$C$5:$C$200,Q$4,'QC listings'!$F$5:$F$200,"Listing page")+COUNTIFS('QC listings'!$A$5:$A$200,$M203,'QC listings'!$C$5:$C$200,Q$4,'QC listings'!$F$5:$F$200,"Brand page")&gt;0,"Y",IF(COUNTIFS('QC listings'!$A$5:$A$200,$M203,'QC listings'!$C$5:$C$200,Q$4)&gt;0,"?","–")))</f>
        <v/>
      </c>
      <c r="R203" s="12" t="str">
        <f aca="false">IF($M203="","",IF(COUNTIFS('QC listings'!$A$5:$A$200,$M203,'QC listings'!$C$5:$C$200,R$4,'QC listings'!$F$5:$F$200,"Listing page")+COUNTIFS('QC listings'!$A$5:$A$200,$M203,'QC listings'!$C$5:$C$200,R$4,'QC listings'!$F$5:$F$200,"Brand page")&gt;0,"Y",IF(COUNTIFS('QC listings'!$A$5:$A$200,$M203,'QC listings'!$C$5:$C$200,R$4)&gt;0,"?","–")))</f>
        <v/>
      </c>
      <c r="S203" s="12" t="str">
        <f aca="false">IF($M203="","",COUNTIF(O203:R203,"Y"))</f>
        <v/>
      </c>
      <c r="T203" s="23" t="str">
        <f aca="false">IF($M203="","",SUMPRODUCT(MAX(('QC listings'!$A$5:$A$200=$M203)*'QC listings'!$E$5:$E$200)))</f>
        <v/>
      </c>
      <c r="U203" s="12" t="str">
        <f aca="false">IF($M203="","",IF(T203&gt;=Scoring!$B$11,3,IF(T203&gt;=Scoring!$B$10,2,IF(T203&gt;=Scoring!$B$9,1,0))))</f>
        <v/>
      </c>
      <c r="V203" s="12" t="n">
        <f aca="false">IFERROR(INDEX(Scoring!$B$27:$B$56,MATCH($E203,Scoring!$A$27:$A$56,0)),0)</f>
        <v>0</v>
      </c>
      <c r="W203" s="24" t="n">
        <f aca="false">IF($G203="","",ROUND((Scoring!$B$5-$G203)/30.4375,1))</f>
        <v>17.9</v>
      </c>
      <c r="X203" s="12" t="n">
        <f aca="false">IF($F203="Expired",Scoring!$B$18,IF($G203="",Scoring!$B$17,IF(W203&lt;=Scoring!$B$12,Scoring!$B$13,IF(W203&lt;=Scoring!$B$14,Scoring!$B$15,Scoring!$B$16))))</f>
        <v>1</v>
      </c>
      <c r="Y203" s="15" t="str">
        <f aca="false">IF($M203="","",ROUND((S203*Scoring!$B$6+U203*Scoring!$B$7)*IFERROR(INDEX(Scoring!$B$22:$B$24,MATCH($N203,Scoring!$A$22:$A$24,0)),1)+V203*Scoring!$B$8+X203,2))</f>
        <v/>
      </c>
      <c r="Z203" s="12" t="str">
        <f aca="false">IF($M203="","",IF(SUMPRODUCT(($M$5:$M$249=$M203)*($G$5:$G$249&gt;$G203))&gt;0,0,IF(SUMPRODUCT(($M$5:$M$249=$M203)*($G$5:$G$249=$G203)*(ROW($M$5:$M$249)&lt;ROW($M203)))&gt;0,0,1)))</f>
        <v/>
      </c>
      <c r="AA203" s="12" t="str">
        <f aca="false">IF($Z203=1,RANK($AE203,$AE$5:$AE$249,0),"")</f>
        <v/>
      </c>
      <c r="AB203" s="7" t="s">
        <v>153</v>
      </c>
      <c r="AC203" s="6" t="s">
        <v>162</v>
      </c>
      <c r="AD203" s="6"/>
      <c r="AE203" s="25" t="str">
        <f aca="false">IF($Z203=1,$Y203+$T203/1000000000-ROW()/10000000,"")</f>
        <v/>
      </c>
    </row>
    <row r="204" customFormat="false" ht="23.85" hidden="false" customHeight="false" outlineLevel="0" collapsed="false">
      <c r="A204" s="7" t="s">
        <v>1132</v>
      </c>
      <c r="B204" s="6" t="s">
        <v>674</v>
      </c>
      <c r="C204" s="6" t="s">
        <v>1133</v>
      </c>
      <c r="D204" s="7" t="s">
        <v>757</v>
      </c>
      <c r="E204" s="7" t="s">
        <v>1129</v>
      </c>
      <c r="F204" s="12" t="s">
        <v>158</v>
      </c>
      <c r="G204" s="13" t="n">
        <v>46225</v>
      </c>
      <c r="H204" s="7" t="s">
        <v>1134</v>
      </c>
      <c r="I204" s="6" t="s">
        <v>149</v>
      </c>
      <c r="J204" s="7" t="s">
        <v>60</v>
      </c>
      <c r="K204" s="12"/>
      <c r="L204" s="10" t="s">
        <v>1135</v>
      </c>
      <c r="M204" s="7"/>
      <c r="N204" s="12"/>
      <c r="O204" s="12" t="str">
        <f aca="false">IF($M204="","",IF(COUNTIFS('QC listings'!$A$5:$A$200,$M204,'QC listings'!$C$5:$C$200,O$4,'QC listings'!$F$5:$F$200,"Listing page")+COUNTIFS('QC listings'!$A$5:$A$200,$M204,'QC listings'!$C$5:$C$200,O$4,'QC listings'!$F$5:$F$200,"Brand page")&gt;0,"Y",IF(COUNTIFS('QC listings'!$A$5:$A$200,$M204,'QC listings'!$C$5:$C$200,O$4)&gt;0,"?","–")))</f>
        <v/>
      </c>
      <c r="P204" s="12" t="str">
        <f aca="false">IF($M204="","",IF(COUNTIFS('QC listings'!$A$5:$A$200,$M204,'QC listings'!$C$5:$C$200,P$4,'QC listings'!$F$5:$F$200,"Listing page")+COUNTIFS('QC listings'!$A$5:$A$200,$M204,'QC listings'!$C$5:$C$200,P$4,'QC listings'!$F$5:$F$200,"Brand page")&gt;0,"Y",IF(COUNTIFS('QC listings'!$A$5:$A$200,$M204,'QC listings'!$C$5:$C$200,P$4)&gt;0,"?","–")))</f>
        <v/>
      </c>
      <c r="Q204" s="12" t="str">
        <f aca="false">IF($M204="","",IF(COUNTIFS('QC listings'!$A$5:$A$200,$M204,'QC listings'!$C$5:$C$200,Q$4,'QC listings'!$F$5:$F$200,"Listing page")+COUNTIFS('QC listings'!$A$5:$A$200,$M204,'QC listings'!$C$5:$C$200,Q$4,'QC listings'!$F$5:$F$200,"Brand page")&gt;0,"Y",IF(COUNTIFS('QC listings'!$A$5:$A$200,$M204,'QC listings'!$C$5:$C$200,Q$4)&gt;0,"?","–")))</f>
        <v/>
      </c>
      <c r="R204" s="12" t="str">
        <f aca="false">IF($M204="","",IF(COUNTIFS('QC listings'!$A$5:$A$200,$M204,'QC listings'!$C$5:$C$200,R$4,'QC listings'!$F$5:$F$200,"Listing page")+COUNTIFS('QC listings'!$A$5:$A$200,$M204,'QC listings'!$C$5:$C$200,R$4,'QC listings'!$F$5:$F$200,"Brand page")&gt;0,"Y",IF(COUNTIFS('QC listings'!$A$5:$A$200,$M204,'QC listings'!$C$5:$C$200,R$4)&gt;0,"?","–")))</f>
        <v/>
      </c>
      <c r="S204" s="12" t="str">
        <f aca="false">IF($M204="","",COUNTIF(O204:R204,"Y"))</f>
        <v/>
      </c>
      <c r="T204" s="23" t="str">
        <f aca="false">IF($M204="","",SUMPRODUCT(MAX(('QC listings'!$A$5:$A$200=$M204)*'QC listings'!$E$5:$E$200)))</f>
        <v/>
      </c>
      <c r="U204" s="12" t="str">
        <f aca="false">IF($M204="","",IF(T204&gt;=Scoring!$B$11,3,IF(T204&gt;=Scoring!$B$10,2,IF(T204&gt;=Scoring!$B$9,1,0))))</f>
        <v/>
      </c>
      <c r="V204" s="12" t="n">
        <f aca="false">IFERROR(INDEX(Scoring!$B$27:$B$56,MATCH($E204,Scoring!$A$27:$A$56,0)),0)</f>
        <v>0</v>
      </c>
      <c r="W204" s="24" t="n">
        <f aca="false">IF($G204="","",ROUND((Scoring!$B$5-$G204)/30.4375,1))</f>
        <v>2.4</v>
      </c>
      <c r="X204" s="12" t="n">
        <f aca="false">IF($F204="Expired",Scoring!$B$18,IF($G204="",Scoring!$B$17,IF(W204&lt;=Scoring!$B$12,Scoring!$B$13,IF(W204&lt;=Scoring!$B$14,Scoring!$B$15,Scoring!$B$16))))</f>
        <v>2</v>
      </c>
      <c r="Y204" s="15" t="str">
        <f aca="false">IF($M204="","",ROUND((S204*Scoring!$B$6+U204*Scoring!$B$7)*IFERROR(INDEX(Scoring!$B$22:$B$24,MATCH($N204,Scoring!$A$22:$A$24,0)),1)+V204*Scoring!$B$8+X204,2))</f>
        <v/>
      </c>
      <c r="Z204" s="12" t="str">
        <f aca="false">IF($M204="","",IF(SUMPRODUCT(($M$5:$M$249=$M204)*($G$5:$G$249&gt;$G204))&gt;0,0,IF(SUMPRODUCT(($M$5:$M$249=$M204)*($G$5:$G$249=$G204)*(ROW($M$5:$M$249)&lt;ROW($M204)))&gt;0,0,1)))</f>
        <v/>
      </c>
      <c r="AA204" s="12" t="str">
        <f aca="false">IF($Z204=1,RANK($AE204,$AE$5:$AE$249,0),"")</f>
        <v/>
      </c>
      <c r="AB204" s="7" t="s">
        <v>153</v>
      </c>
      <c r="AC204" s="6" t="s">
        <v>162</v>
      </c>
      <c r="AD204" s="6"/>
      <c r="AE204" s="25" t="str">
        <f aca="false">IF($Z204=1,$Y204+$T204/1000000000-ROW()/10000000,"")</f>
        <v/>
      </c>
    </row>
    <row r="205" customFormat="false" ht="23.85" hidden="false" customHeight="false" outlineLevel="0" collapsed="false">
      <c r="A205" s="7" t="s">
        <v>1136</v>
      </c>
      <c r="B205" s="6" t="s">
        <v>930</v>
      </c>
      <c r="C205" s="6" t="s">
        <v>1137</v>
      </c>
      <c r="D205" s="7" t="s">
        <v>757</v>
      </c>
      <c r="E205" s="7" t="s">
        <v>1129</v>
      </c>
      <c r="F205" s="12" t="s">
        <v>158</v>
      </c>
      <c r="G205" s="13" t="n">
        <v>45704</v>
      </c>
      <c r="H205" s="7" t="s">
        <v>1138</v>
      </c>
      <c r="I205" s="6" t="s">
        <v>149</v>
      </c>
      <c r="J205" s="7" t="s">
        <v>60</v>
      </c>
      <c r="K205" s="12"/>
      <c r="L205" s="10" t="s">
        <v>1139</v>
      </c>
      <c r="M205" s="7"/>
      <c r="N205" s="12"/>
      <c r="O205" s="12" t="str">
        <f aca="false">IF($M205="","",IF(COUNTIFS('QC listings'!$A$5:$A$200,$M205,'QC listings'!$C$5:$C$200,O$4,'QC listings'!$F$5:$F$200,"Listing page")+COUNTIFS('QC listings'!$A$5:$A$200,$M205,'QC listings'!$C$5:$C$200,O$4,'QC listings'!$F$5:$F$200,"Brand page")&gt;0,"Y",IF(COUNTIFS('QC listings'!$A$5:$A$200,$M205,'QC listings'!$C$5:$C$200,O$4)&gt;0,"?","–")))</f>
        <v/>
      </c>
      <c r="P205" s="12" t="str">
        <f aca="false">IF($M205="","",IF(COUNTIFS('QC listings'!$A$5:$A$200,$M205,'QC listings'!$C$5:$C$200,P$4,'QC listings'!$F$5:$F$200,"Listing page")+COUNTIFS('QC listings'!$A$5:$A$200,$M205,'QC listings'!$C$5:$C$200,P$4,'QC listings'!$F$5:$F$200,"Brand page")&gt;0,"Y",IF(COUNTIFS('QC listings'!$A$5:$A$200,$M205,'QC listings'!$C$5:$C$200,P$4)&gt;0,"?","–")))</f>
        <v/>
      </c>
      <c r="Q205" s="12" t="str">
        <f aca="false">IF($M205="","",IF(COUNTIFS('QC listings'!$A$5:$A$200,$M205,'QC listings'!$C$5:$C$200,Q$4,'QC listings'!$F$5:$F$200,"Listing page")+COUNTIFS('QC listings'!$A$5:$A$200,$M205,'QC listings'!$C$5:$C$200,Q$4,'QC listings'!$F$5:$F$200,"Brand page")&gt;0,"Y",IF(COUNTIFS('QC listings'!$A$5:$A$200,$M205,'QC listings'!$C$5:$C$200,Q$4)&gt;0,"?","–")))</f>
        <v/>
      </c>
      <c r="R205" s="12" t="str">
        <f aca="false">IF($M205="","",IF(COUNTIFS('QC listings'!$A$5:$A$200,$M205,'QC listings'!$C$5:$C$200,R$4,'QC listings'!$F$5:$F$200,"Listing page")+COUNTIFS('QC listings'!$A$5:$A$200,$M205,'QC listings'!$C$5:$C$200,R$4,'QC listings'!$F$5:$F$200,"Brand page")&gt;0,"Y",IF(COUNTIFS('QC listings'!$A$5:$A$200,$M205,'QC listings'!$C$5:$C$200,R$4)&gt;0,"?","–")))</f>
        <v/>
      </c>
      <c r="S205" s="12" t="str">
        <f aca="false">IF($M205="","",COUNTIF(O205:R205,"Y"))</f>
        <v/>
      </c>
      <c r="T205" s="23" t="str">
        <f aca="false">IF($M205="","",SUMPRODUCT(MAX(('QC listings'!$A$5:$A$200=$M205)*'QC listings'!$E$5:$E$200)))</f>
        <v/>
      </c>
      <c r="U205" s="12" t="str">
        <f aca="false">IF($M205="","",IF(T205&gt;=Scoring!$B$11,3,IF(T205&gt;=Scoring!$B$10,2,IF(T205&gt;=Scoring!$B$9,1,0))))</f>
        <v/>
      </c>
      <c r="V205" s="12" t="n">
        <f aca="false">IFERROR(INDEX(Scoring!$B$27:$B$56,MATCH($E205,Scoring!$A$27:$A$56,0)),0)</f>
        <v>0</v>
      </c>
      <c r="W205" s="24" t="n">
        <f aca="false">IF($G205="","",ROUND((Scoring!$B$5-$G205)/30.4375,1))</f>
        <v>19.5</v>
      </c>
      <c r="X205" s="12" t="n">
        <f aca="false">IF($F205="Expired",Scoring!$B$18,IF($G205="",Scoring!$B$17,IF(W205&lt;=Scoring!$B$12,Scoring!$B$13,IF(W205&lt;=Scoring!$B$14,Scoring!$B$15,Scoring!$B$16))))</f>
        <v>1</v>
      </c>
      <c r="Y205" s="15" t="str">
        <f aca="false">IF($M205="","",ROUND((S205*Scoring!$B$6+U205*Scoring!$B$7)*IFERROR(INDEX(Scoring!$B$22:$B$24,MATCH($N205,Scoring!$A$22:$A$24,0)),1)+V205*Scoring!$B$8+X205,2))</f>
        <v/>
      </c>
      <c r="Z205" s="12" t="str">
        <f aca="false">IF($M205="","",IF(SUMPRODUCT(($M$5:$M$249=$M205)*($G$5:$G$249&gt;$G205))&gt;0,0,IF(SUMPRODUCT(($M$5:$M$249=$M205)*($G$5:$G$249=$G205)*(ROW($M$5:$M$249)&lt;ROW($M205)))&gt;0,0,1)))</f>
        <v/>
      </c>
      <c r="AA205" s="12" t="str">
        <f aca="false">IF($Z205=1,RANK($AE205,$AE$5:$AE$249,0),"")</f>
        <v/>
      </c>
      <c r="AB205" s="7" t="s">
        <v>153</v>
      </c>
      <c r="AC205" s="6" t="s">
        <v>162</v>
      </c>
      <c r="AD205" s="6"/>
      <c r="AE205" s="25" t="str">
        <f aca="false">IF($Z205=1,$Y205+$T205/1000000000-ROW()/10000000,"")</f>
        <v/>
      </c>
    </row>
    <row r="206" customFormat="false" ht="23.85" hidden="false" customHeight="false" outlineLevel="0" collapsed="false">
      <c r="A206" s="7" t="s">
        <v>1140</v>
      </c>
      <c r="B206" s="6" t="s">
        <v>650</v>
      </c>
      <c r="C206" s="6" t="s">
        <v>1141</v>
      </c>
      <c r="D206" s="7" t="s">
        <v>757</v>
      </c>
      <c r="E206" s="7" t="s">
        <v>1142</v>
      </c>
      <c r="F206" s="12" t="s">
        <v>549</v>
      </c>
      <c r="G206" s="13"/>
      <c r="H206" s="7"/>
      <c r="I206" s="6" t="s">
        <v>903</v>
      </c>
      <c r="J206" s="7" t="s">
        <v>60</v>
      </c>
      <c r="K206" s="12"/>
      <c r="L206" s="10" t="s">
        <v>1143</v>
      </c>
      <c r="M206" s="7"/>
      <c r="N206" s="12"/>
      <c r="O206" s="12" t="str">
        <f aca="false">IF($M206="","",IF(COUNTIFS('QC listings'!$A$5:$A$200,$M206,'QC listings'!$C$5:$C$200,O$4,'QC listings'!$F$5:$F$200,"Listing page")+COUNTIFS('QC listings'!$A$5:$A$200,$M206,'QC listings'!$C$5:$C$200,O$4,'QC listings'!$F$5:$F$200,"Brand page")&gt;0,"Y",IF(COUNTIFS('QC listings'!$A$5:$A$200,$M206,'QC listings'!$C$5:$C$200,O$4)&gt;0,"?","–")))</f>
        <v/>
      </c>
      <c r="P206" s="12" t="str">
        <f aca="false">IF($M206="","",IF(COUNTIFS('QC listings'!$A$5:$A$200,$M206,'QC listings'!$C$5:$C$200,P$4,'QC listings'!$F$5:$F$200,"Listing page")+COUNTIFS('QC listings'!$A$5:$A$200,$M206,'QC listings'!$C$5:$C$200,P$4,'QC listings'!$F$5:$F$200,"Brand page")&gt;0,"Y",IF(COUNTIFS('QC listings'!$A$5:$A$200,$M206,'QC listings'!$C$5:$C$200,P$4)&gt;0,"?","–")))</f>
        <v/>
      </c>
      <c r="Q206" s="12" t="str">
        <f aca="false">IF($M206="","",IF(COUNTIFS('QC listings'!$A$5:$A$200,$M206,'QC listings'!$C$5:$C$200,Q$4,'QC listings'!$F$5:$F$200,"Listing page")+COUNTIFS('QC listings'!$A$5:$A$200,$M206,'QC listings'!$C$5:$C$200,Q$4,'QC listings'!$F$5:$F$200,"Brand page")&gt;0,"Y",IF(COUNTIFS('QC listings'!$A$5:$A$200,$M206,'QC listings'!$C$5:$C$200,Q$4)&gt;0,"?","–")))</f>
        <v/>
      </c>
      <c r="R206" s="12" t="str">
        <f aca="false">IF($M206="","",IF(COUNTIFS('QC listings'!$A$5:$A$200,$M206,'QC listings'!$C$5:$C$200,R$4,'QC listings'!$F$5:$F$200,"Listing page")+COUNTIFS('QC listings'!$A$5:$A$200,$M206,'QC listings'!$C$5:$C$200,R$4,'QC listings'!$F$5:$F$200,"Brand page")&gt;0,"Y",IF(COUNTIFS('QC listings'!$A$5:$A$200,$M206,'QC listings'!$C$5:$C$200,R$4)&gt;0,"?","–")))</f>
        <v/>
      </c>
      <c r="S206" s="12" t="str">
        <f aca="false">IF($M206="","",COUNTIF(O206:R206,"Y"))</f>
        <v/>
      </c>
      <c r="T206" s="23" t="str">
        <f aca="false">IF($M206="","",SUMPRODUCT(MAX(('QC listings'!$A$5:$A$200=$M206)*'QC listings'!$E$5:$E$200)))</f>
        <v/>
      </c>
      <c r="U206" s="12" t="str">
        <f aca="false">IF($M206="","",IF(T206&gt;=Scoring!$B$11,3,IF(T206&gt;=Scoring!$B$10,2,IF(T206&gt;=Scoring!$B$9,1,0))))</f>
        <v/>
      </c>
      <c r="V206" s="12" t="n">
        <f aca="false">IFERROR(INDEX(Scoring!$B$27:$B$56,MATCH($E206,Scoring!$A$27:$A$56,0)),0)</f>
        <v>0</v>
      </c>
      <c r="W206" s="24" t="str">
        <f aca="false">IF($G206="","",ROUND((Scoring!$B$5-$G206)/30.4375,1))</f>
        <v/>
      </c>
      <c r="X206" s="12" t="n">
        <f aca="false">IF($F206="Expired",Scoring!$B$18,IF($G206="",Scoring!$B$17,IF(W206&lt;=Scoring!$B$12,Scoring!$B$13,IF(W206&lt;=Scoring!$B$14,Scoring!$B$15,Scoring!$B$16))))</f>
        <v>0</v>
      </c>
      <c r="Y206" s="15" t="str">
        <f aca="false">IF($M206="","",ROUND((S206*Scoring!$B$6+U206*Scoring!$B$7)*IFERROR(INDEX(Scoring!$B$22:$B$24,MATCH($N206,Scoring!$A$22:$A$24,0)),1)+V206*Scoring!$B$8+X206,2))</f>
        <v/>
      </c>
      <c r="Z206" s="12" t="str">
        <f aca="false">IF($M206="","",IF(SUMPRODUCT(($M$5:$M$249=$M206)*($G$5:$G$249&gt;$G206))&gt;0,0,IF(SUMPRODUCT(($M$5:$M$249=$M206)*($G$5:$G$249=$G206)*(ROW($M$5:$M$249)&lt;ROW($M206)))&gt;0,0,1)))</f>
        <v/>
      </c>
      <c r="AA206" s="12" t="str">
        <f aca="false">IF($Z206=1,RANK($AE206,$AE$5:$AE$249,0),"")</f>
        <v/>
      </c>
      <c r="AB206" s="7" t="s">
        <v>153</v>
      </c>
      <c r="AC206" s="6" t="s">
        <v>642</v>
      </c>
      <c r="AD206" s="6" t="s">
        <v>942</v>
      </c>
      <c r="AE206" s="25" t="str">
        <f aca="false">IF($Z206=1,$Y206+$T206/1000000000-ROW()/10000000,"")</f>
        <v/>
      </c>
    </row>
    <row r="207" customFormat="false" ht="23.85" hidden="false" customHeight="false" outlineLevel="0" collapsed="false">
      <c r="A207" s="7" t="s">
        <v>1144</v>
      </c>
      <c r="B207" s="6" t="s">
        <v>650</v>
      </c>
      <c r="C207" s="6" t="s">
        <v>1145</v>
      </c>
      <c r="D207" s="7" t="s">
        <v>757</v>
      </c>
      <c r="E207" s="7" t="s">
        <v>1142</v>
      </c>
      <c r="F207" s="12" t="s">
        <v>158</v>
      </c>
      <c r="G207" s="13" t="n">
        <v>45857</v>
      </c>
      <c r="H207" s="7" t="s">
        <v>1146</v>
      </c>
      <c r="I207" s="6" t="s">
        <v>149</v>
      </c>
      <c r="J207" s="7" t="s">
        <v>60</v>
      </c>
      <c r="K207" s="12"/>
      <c r="L207" s="10" t="s">
        <v>1147</v>
      </c>
      <c r="M207" s="7"/>
      <c r="N207" s="12"/>
      <c r="O207" s="12" t="str">
        <f aca="false">IF($M207="","",IF(COUNTIFS('QC listings'!$A$5:$A$200,$M207,'QC listings'!$C$5:$C$200,O$4,'QC listings'!$F$5:$F$200,"Listing page")+COUNTIFS('QC listings'!$A$5:$A$200,$M207,'QC listings'!$C$5:$C$200,O$4,'QC listings'!$F$5:$F$200,"Brand page")&gt;0,"Y",IF(COUNTIFS('QC listings'!$A$5:$A$200,$M207,'QC listings'!$C$5:$C$200,O$4)&gt;0,"?","–")))</f>
        <v/>
      </c>
      <c r="P207" s="12" t="str">
        <f aca="false">IF($M207="","",IF(COUNTIFS('QC listings'!$A$5:$A$200,$M207,'QC listings'!$C$5:$C$200,P$4,'QC listings'!$F$5:$F$200,"Listing page")+COUNTIFS('QC listings'!$A$5:$A$200,$M207,'QC listings'!$C$5:$C$200,P$4,'QC listings'!$F$5:$F$200,"Brand page")&gt;0,"Y",IF(COUNTIFS('QC listings'!$A$5:$A$200,$M207,'QC listings'!$C$5:$C$200,P$4)&gt;0,"?","–")))</f>
        <v/>
      </c>
      <c r="Q207" s="12" t="str">
        <f aca="false">IF($M207="","",IF(COUNTIFS('QC listings'!$A$5:$A$200,$M207,'QC listings'!$C$5:$C$200,Q$4,'QC listings'!$F$5:$F$200,"Listing page")+COUNTIFS('QC listings'!$A$5:$A$200,$M207,'QC listings'!$C$5:$C$200,Q$4,'QC listings'!$F$5:$F$200,"Brand page")&gt;0,"Y",IF(COUNTIFS('QC listings'!$A$5:$A$200,$M207,'QC listings'!$C$5:$C$200,Q$4)&gt;0,"?","–")))</f>
        <v/>
      </c>
      <c r="R207" s="12" t="str">
        <f aca="false">IF($M207="","",IF(COUNTIFS('QC listings'!$A$5:$A$200,$M207,'QC listings'!$C$5:$C$200,R$4,'QC listings'!$F$5:$F$200,"Listing page")+COUNTIFS('QC listings'!$A$5:$A$200,$M207,'QC listings'!$C$5:$C$200,R$4,'QC listings'!$F$5:$F$200,"Brand page")&gt;0,"Y",IF(COUNTIFS('QC listings'!$A$5:$A$200,$M207,'QC listings'!$C$5:$C$200,R$4)&gt;0,"?","–")))</f>
        <v/>
      </c>
      <c r="S207" s="12" t="str">
        <f aca="false">IF($M207="","",COUNTIF(O207:R207,"Y"))</f>
        <v/>
      </c>
      <c r="T207" s="23" t="str">
        <f aca="false">IF($M207="","",SUMPRODUCT(MAX(('QC listings'!$A$5:$A$200=$M207)*'QC listings'!$E$5:$E$200)))</f>
        <v/>
      </c>
      <c r="U207" s="12" t="str">
        <f aca="false">IF($M207="","",IF(T207&gt;=Scoring!$B$11,3,IF(T207&gt;=Scoring!$B$10,2,IF(T207&gt;=Scoring!$B$9,1,0))))</f>
        <v/>
      </c>
      <c r="V207" s="12" t="n">
        <f aca="false">IFERROR(INDEX(Scoring!$B$27:$B$56,MATCH($E207,Scoring!$A$27:$A$56,0)),0)</f>
        <v>0</v>
      </c>
      <c r="W207" s="24" t="n">
        <f aca="false">IF($G207="","",ROUND((Scoring!$B$5-$G207)/30.4375,1))</f>
        <v>14.5</v>
      </c>
      <c r="X207" s="12" t="n">
        <f aca="false">IF($F207="Expired",Scoring!$B$18,IF($G207="",Scoring!$B$17,IF(W207&lt;=Scoring!$B$12,Scoring!$B$13,IF(W207&lt;=Scoring!$B$14,Scoring!$B$15,Scoring!$B$16))))</f>
        <v>1</v>
      </c>
      <c r="Y207" s="15" t="str">
        <f aca="false">IF($M207="","",ROUND((S207*Scoring!$B$6+U207*Scoring!$B$7)*IFERROR(INDEX(Scoring!$B$22:$B$24,MATCH($N207,Scoring!$A$22:$A$24,0)),1)+V207*Scoring!$B$8+X207,2))</f>
        <v/>
      </c>
      <c r="Z207" s="12" t="str">
        <f aca="false">IF($M207="","",IF(SUMPRODUCT(($M$5:$M$249=$M207)*($G$5:$G$249&gt;$G207))&gt;0,0,IF(SUMPRODUCT(($M$5:$M$249=$M207)*($G$5:$G$249=$G207)*(ROW($M$5:$M$249)&lt;ROW($M207)))&gt;0,0,1)))</f>
        <v/>
      </c>
      <c r="AA207" s="12" t="str">
        <f aca="false">IF($Z207=1,RANK($AE207,$AE$5:$AE$249,0),"")</f>
        <v/>
      </c>
      <c r="AB207" s="7" t="s">
        <v>153</v>
      </c>
      <c r="AC207" s="6" t="s">
        <v>162</v>
      </c>
      <c r="AD207" s="6"/>
      <c r="AE207" s="25" t="str">
        <f aca="false">IF($Z207=1,$Y207+$T207/1000000000-ROW()/10000000,"")</f>
        <v/>
      </c>
    </row>
    <row r="208" customFormat="false" ht="23.85" hidden="false" customHeight="false" outlineLevel="0" collapsed="false">
      <c r="A208" s="7" t="s">
        <v>1148</v>
      </c>
      <c r="B208" s="6" t="s">
        <v>650</v>
      </c>
      <c r="C208" s="6" t="s">
        <v>1149</v>
      </c>
      <c r="D208" s="7" t="s">
        <v>757</v>
      </c>
      <c r="E208" s="7" t="s">
        <v>1142</v>
      </c>
      <c r="F208" s="12" t="s">
        <v>158</v>
      </c>
      <c r="G208" s="13" t="n">
        <v>46189</v>
      </c>
      <c r="H208" s="7" t="s">
        <v>1150</v>
      </c>
      <c r="I208" s="6" t="s">
        <v>149</v>
      </c>
      <c r="J208" s="7" t="s">
        <v>60</v>
      </c>
      <c r="K208" s="12"/>
      <c r="L208" s="10" t="s">
        <v>1151</v>
      </c>
      <c r="M208" s="7"/>
      <c r="N208" s="12"/>
      <c r="O208" s="12" t="str">
        <f aca="false">IF($M208="","",IF(COUNTIFS('QC listings'!$A$5:$A$200,$M208,'QC listings'!$C$5:$C$200,O$4,'QC listings'!$F$5:$F$200,"Listing page")+COUNTIFS('QC listings'!$A$5:$A$200,$M208,'QC listings'!$C$5:$C$200,O$4,'QC listings'!$F$5:$F$200,"Brand page")&gt;0,"Y",IF(COUNTIFS('QC listings'!$A$5:$A$200,$M208,'QC listings'!$C$5:$C$200,O$4)&gt;0,"?","–")))</f>
        <v/>
      </c>
      <c r="P208" s="12" t="str">
        <f aca="false">IF($M208="","",IF(COUNTIFS('QC listings'!$A$5:$A$200,$M208,'QC listings'!$C$5:$C$200,P$4,'QC listings'!$F$5:$F$200,"Listing page")+COUNTIFS('QC listings'!$A$5:$A$200,$M208,'QC listings'!$C$5:$C$200,P$4,'QC listings'!$F$5:$F$200,"Brand page")&gt;0,"Y",IF(COUNTIFS('QC listings'!$A$5:$A$200,$M208,'QC listings'!$C$5:$C$200,P$4)&gt;0,"?","–")))</f>
        <v/>
      </c>
      <c r="Q208" s="12" t="str">
        <f aca="false">IF($M208="","",IF(COUNTIFS('QC listings'!$A$5:$A$200,$M208,'QC listings'!$C$5:$C$200,Q$4,'QC listings'!$F$5:$F$200,"Listing page")+COUNTIFS('QC listings'!$A$5:$A$200,$M208,'QC listings'!$C$5:$C$200,Q$4,'QC listings'!$F$5:$F$200,"Brand page")&gt;0,"Y",IF(COUNTIFS('QC listings'!$A$5:$A$200,$M208,'QC listings'!$C$5:$C$200,Q$4)&gt;0,"?","–")))</f>
        <v/>
      </c>
      <c r="R208" s="12" t="str">
        <f aca="false">IF($M208="","",IF(COUNTIFS('QC listings'!$A$5:$A$200,$M208,'QC listings'!$C$5:$C$200,R$4,'QC listings'!$F$5:$F$200,"Listing page")+COUNTIFS('QC listings'!$A$5:$A$200,$M208,'QC listings'!$C$5:$C$200,R$4,'QC listings'!$F$5:$F$200,"Brand page")&gt;0,"Y",IF(COUNTIFS('QC listings'!$A$5:$A$200,$M208,'QC listings'!$C$5:$C$200,R$4)&gt;0,"?","–")))</f>
        <v/>
      </c>
      <c r="S208" s="12" t="str">
        <f aca="false">IF($M208="","",COUNTIF(O208:R208,"Y"))</f>
        <v/>
      </c>
      <c r="T208" s="23" t="str">
        <f aca="false">IF($M208="","",SUMPRODUCT(MAX(('QC listings'!$A$5:$A$200=$M208)*'QC listings'!$E$5:$E$200)))</f>
        <v/>
      </c>
      <c r="U208" s="12" t="str">
        <f aca="false">IF($M208="","",IF(T208&gt;=Scoring!$B$11,3,IF(T208&gt;=Scoring!$B$10,2,IF(T208&gt;=Scoring!$B$9,1,0))))</f>
        <v/>
      </c>
      <c r="V208" s="12" t="n">
        <f aca="false">IFERROR(INDEX(Scoring!$B$27:$B$56,MATCH($E208,Scoring!$A$27:$A$56,0)),0)</f>
        <v>0</v>
      </c>
      <c r="W208" s="24" t="n">
        <f aca="false">IF($G208="","",ROUND((Scoring!$B$5-$G208)/30.4375,1))</f>
        <v>3.5</v>
      </c>
      <c r="X208" s="12" t="n">
        <f aca="false">IF($F208="Expired",Scoring!$B$18,IF($G208="",Scoring!$B$17,IF(W208&lt;=Scoring!$B$12,Scoring!$B$13,IF(W208&lt;=Scoring!$B$14,Scoring!$B$15,Scoring!$B$16))))</f>
        <v>2</v>
      </c>
      <c r="Y208" s="15" t="str">
        <f aca="false">IF($M208="","",ROUND((S208*Scoring!$B$6+U208*Scoring!$B$7)*IFERROR(INDEX(Scoring!$B$22:$B$24,MATCH($N208,Scoring!$A$22:$A$24,0)),1)+V208*Scoring!$B$8+X208,2))</f>
        <v/>
      </c>
      <c r="Z208" s="12" t="str">
        <f aca="false">IF($M208="","",IF(SUMPRODUCT(($M$5:$M$249=$M208)*($G$5:$G$249&gt;$G208))&gt;0,0,IF(SUMPRODUCT(($M$5:$M$249=$M208)*($G$5:$G$249=$G208)*(ROW($M$5:$M$249)&lt;ROW($M208)))&gt;0,0,1)))</f>
        <v/>
      </c>
      <c r="AA208" s="12" t="str">
        <f aca="false">IF($Z208=1,RANK($AE208,$AE$5:$AE$249,0),"")</f>
        <v/>
      </c>
      <c r="AB208" s="7" t="s">
        <v>153</v>
      </c>
      <c r="AC208" s="6" t="s">
        <v>162</v>
      </c>
      <c r="AD208" s="6"/>
      <c r="AE208" s="25" t="str">
        <f aca="false">IF($Z208=1,$Y208+$T208/1000000000-ROW()/10000000,"")</f>
        <v/>
      </c>
    </row>
    <row r="209" customFormat="false" ht="23.85" hidden="false" customHeight="false" outlineLevel="0" collapsed="false">
      <c r="A209" s="7" t="s">
        <v>1152</v>
      </c>
      <c r="B209" s="6" t="s">
        <v>755</v>
      </c>
      <c r="C209" s="6" t="s">
        <v>1149</v>
      </c>
      <c r="D209" s="7" t="s">
        <v>757</v>
      </c>
      <c r="E209" s="7" t="s">
        <v>1142</v>
      </c>
      <c r="F209" s="12" t="s">
        <v>158</v>
      </c>
      <c r="G209" s="13" t="n">
        <v>45644</v>
      </c>
      <c r="H209" s="7" t="s">
        <v>1153</v>
      </c>
      <c r="I209" s="6" t="s">
        <v>149</v>
      </c>
      <c r="J209" s="7" t="s">
        <v>60</v>
      </c>
      <c r="K209" s="12"/>
      <c r="L209" s="10" t="s">
        <v>1154</v>
      </c>
      <c r="M209" s="7"/>
      <c r="N209" s="12"/>
      <c r="O209" s="12" t="str">
        <f aca="false">IF($M209="","",IF(COUNTIFS('QC listings'!$A$5:$A$200,$M209,'QC listings'!$C$5:$C$200,O$4,'QC listings'!$F$5:$F$200,"Listing page")+COUNTIFS('QC listings'!$A$5:$A$200,$M209,'QC listings'!$C$5:$C$200,O$4,'QC listings'!$F$5:$F$200,"Brand page")&gt;0,"Y",IF(COUNTIFS('QC listings'!$A$5:$A$200,$M209,'QC listings'!$C$5:$C$200,O$4)&gt;0,"?","–")))</f>
        <v/>
      </c>
      <c r="P209" s="12" t="str">
        <f aca="false">IF($M209="","",IF(COUNTIFS('QC listings'!$A$5:$A$200,$M209,'QC listings'!$C$5:$C$200,P$4,'QC listings'!$F$5:$F$200,"Listing page")+COUNTIFS('QC listings'!$A$5:$A$200,$M209,'QC listings'!$C$5:$C$200,P$4,'QC listings'!$F$5:$F$200,"Brand page")&gt;0,"Y",IF(COUNTIFS('QC listings'!$A$5:$A$200,$M209,'QC listings'!$C$5:$C$200,P$4)&gt;0,"?","–")))</f>
        <v/>
      </c>
      <c r="Q209" s="12" t="str">
        <f aca="false">IF($M209="","",IF(COUNTIFS('QC listings'!$A$5:$A$200,$M209,'QC listings'!$C$5:$C$200,Q$4,'QC listings'!$F$5:$F$200,"Listing page")+COUNTIFS('QC listings'!$A$5:$A$200,$M209,'QC listings'!$C$5:$C$200,Q$4,'QC listings'!$F$5:$F$200,"Brand page")&gt;0,"Y",IF(COUNTIFS('QC listings'!$A$5:$A$200,$M209,'QC listings'!$C$5:$C$200,Q$4)&gt;0,"?","–")))</f>
        <v/>
      </c>
      <c r="R209" s="12" t="str">
        <f aca="false">IF($M209="","",IF(COUNTIFS('QC listings'!$A$5:$A$200,$M209,'QC listings'!$C$5:$C$200,R$4,'QC listings'!$F$5:$F$200,"Listing page")+COUNTIFS('QC listings'!$A$5:$A$200,$M209,'QC listings'!$C$5:$C$200,R$4,'QC listings'!$F$5:$F$200,"Brand page")&gt;0,"Y",IF(COUNTIFS('QC listings'!$A$5:$A$200,$M209,'QC listings'!$C$5:$C$200,R$4)&gt;0,"?","–")))</f>
        <v/>
      </c>
      <c r="S209" s="12" t="str">
        <f aca="false">IF($M209="","",COUNTIF(O209:R209,"Y"))</f>
        <v/>
      </c>
      <c r="T209" s="23" t="str">
        <f aca="false">IF($M209="","",SUMPRODUCT(MAX(('QC listings'!$A$5:$A$200=$M209)*'QC listings'!$E$5:$E$200)))</f>
        <v/>
      </c>
      <c r="U209" s="12" t="str">
        <f aca="false">IF($M209="","",IF(T209&gt;=Scoring!$B$11,3,IF(T209&gt;=Scoring!$B$10,2,IF(T209&gt;=Scoring!$B$9,1,0))))</f>
        <v/>
      </c>
      <c r="V209" s="12" t="n">
        <f aca="false">IFERROR(INDEX(Scoring!$B$27:$B$56,MATCH($E209,Scoring!$A$27:$A$56,0)),0)</f>
        <v>0</v>
      </c>
      <c r="W209" s="24" t="n">
        <f aca="false">IF($G209="","",ROUND((Scoring!$B$5-$G209)/30.4375,1))</f>
        <v>21.5</v>
      </c>
      <c r="X209" s="12" t="n">
        <f aca="false">IF($F209="Expired",Scoring!$B$18,IF($G209="",Scoring!$B$17,IF(W209&lt;=Scoring!$B$12,Scoring!$B$13,IF(W209&lt;=Scoring!$B$14,Scoring!$B$15,Scoring!$B$16))))</f>
        <v>1</v>
      </c>
      <c r="Y209" s="15" t="str">
        <f aca="false">IF($M209="","",ROUND((S209*Scoring!$B$6+U209*Scoring!$B$7)*IFERROR(INDEX(Scoring!$B$22:$B$24,MATCH($N209,Scoring!$A$22:$A$24,0)),1)+V209*Scoring!$B$8+X209,2))</f>
        <v/>
      </c>
      <c r="Z209" s="12" t="str">
        <f aca="false">IF($M209="","",IF(SUMPRODUCT(($M$5:$M$249=$M209)*($G$5:$G$249&gt;$G209))&gt;0,0,IF(SUMPRODUCT(($M$5:$M$249=$M209)*($G$5:$G$249=$G209)*(ROW($M$5:$M$249)&lt;ROW($M209)))&gt;0,0,1)))</f>
        <v/>
      </c>
      <c r="AA209" s="12" t="str">
        <f aca="false">IF($Z209=1,RANK($AE209,$AE$5:$AE$249,0),"")</f>
        <v/>
      </c>
      <c r="AB209" s="7" t="s">
        <v>153</v>
      </c>
      <c r="AC209" s="6" t="s">
        <v>162</v>
      </c>
      <c r="AD209" s="6"/>
      <c r="AE209" s="25" t="str">
        <f aca="false">IF($Z209=1,$Y209+$T209/1000000000-ROW()/10000000,"")</f>
        <v/>
      </c>
    </row>
    <row r="210" customFormat="false" ht="23.85" hidden="false" customHeight="false" outlineLevel="0" collapsed="false">
      <c r="A210" s="7" t="s">
        <v>1155</v>
      </c>
      <c r="B210" s="6" t="s">
        <v>821</v>
      </c>
      <c r="C210" s="6" t="s">
        <v>1149</v>
      </c>
      <c r="D210" s="7" t="s">
        <v>757</v>
      </c>
      <c r="E210" s="7" t="s">
        <v>1142</v>
      </c>
      <c r="F210" s="12" t="s">
        <v>158</v>
      </c>
      <c r="G210" s="13" t="n">
        <v>46164</v>
      </c>
      <c r="H210" s="7" t="s">
        <v>1156</v>
      </c>
      <c r="I210" s="6" t="s">
        <v>149</v>
      </c>
      <c r="J210" s="7" t="s">
        <v>60</v>
      </c>
      <c r="K210" s="12"/>
      <c r="L210" s="10" t="s">
        <v>1157</v>
      </c>
      <c r="M210" s="7"/>
      <c r="N210" s="12"/>
      <c r="O210" s="12" t="str">
        <f aca="false">IF($M210="","",IF(COUNTIFS('QC listings'!$A$5:$A$200,$M210,'QC listings'!$C$5:$C$200,O$4,'QC listings'!$F$5:$F$200,"Listing page")+COUNTIFS('QC listings'!$A$5:$A$200,$M210,'QC listings'!$C$5:$C$200,O$4,'QC listings'!$F$5:$F$200,"Brand page")&gt;0,"Y",IF(COUNTIFS('QC listings'!$A$5:$A$200,$M210,'QC listings'!$C$5:$C$200,O$4)&gt;0,"?","–")))</f>
        <v/>
      </c>
      <c r="P210" s="12" t="str">
        <f aca="false">IF($M210="","",IF(COUNTIFS('QC listings'!$A$5:$A$200,$M210,'QC listings'!$C$5:$C$200,P$4,'QC listings'!$F$5:$F$200,"Listing page")+COUNTIFS('QC listings'!$A$5:$A$200,$M210,'QC listings'!$C$5:$C$200,P$4,'QC listings'!$F$5:$F$200,"Brand page")&gt;0,"Y",IF(COUNTIFS('QC listings'!$A$5:$A$200,$M210,'QC listings'!$C$5:$C$200,P$4)&gt;0,"?","–")))</f>
        <v/>
      </c>
      <c r="Q210" s="12" t="str">
        <f aca="false">IF($M210="","",IF(COUNTIFS('QC listings'!$A$5:$A$200,$M210,'QC listings'!$C$5:$C$200,Q$4,'QC listings'!$F$5:$F$200,"Listing page")+COUNTIFS('QC listings'!$A$5:$A$200,$M210,'QC listings'!$C$5:$C$200,Q$4,'QC listings'!$F$5:$F$200,"Brand page")&gt;0,"Y",IF(COUNTIFS('QC listings'!$A$5:$A$200,$M210,'QC listings'!$C$5:$C$200,Q$4)&gt;0,"?","–")))</f>
        <v/>
      </c>
      <c r="R210" s="12" t="str">
        <f aca="false">IF($M210="","",IF(COUNTIFS('QC listings'!$A$5:$A$200,$M210,'QC listings'!$C$5:$C$200,R$4,'QC listings'!$F$5:$F$200,"Listing page")+COUNTIFS('QC listings'!$A$5:$A$200,$M210,'QC listings'!$C$5:$C$200,R$4,'QC listings'!$F$5:$F$200,"Brand page")&gt;0,"Y",IF(COUNTIFS('QC listings'!$A$5:$A$200,$M210,'QC listings'!$C$5:$C$200,R$4)&gt;0,"?","–")))</f>
        <v/>
      </c>
      <c r="S210" s="12" t="str">
        <f aca="false">IF($M210="","",COUNTIF(O210:R210,"Y"))</f>
        <v/>
      </c>
      <c r="T210" s="23" t="str">
        <f aca="false">IF($M210="","",SUMPRODUCT(MAX(('QC listings'!$A$5:$A$200=$M210)*'QC listings'!$E$5:$E$200)))</f>
        <v/>
      </c>
      <c r="U210" s="12" t="str">
        <f aca="false">IF($M210="","",IF(T210&gt;=Scoring!$B$11,3,IF(T210&gt;=Scoring!$B$10,2,IF(T210&gt;=Scoring!$B$9,1,0))))</f>
        <v/>
      </c>
      <c r="V210" s="12" t="n">
        <f aca="false">IFERROR(INDEX(Scoring!$B$27:$B$56,MATCH($E210,Scoring!$A$27:$A$56,0)),0)</f>
        <v>0</v>
      </c>
      <c r="W210" s="24" t="n">
        <f aca="false">IF($G210="","",ROUND((Scoring!$B$5-$G210)/30.4375,1))</f>
        <v>4.4</v>
      </c>
      <c r="X210" s="12" t="n">
        <f aca="false">IF($F210="Expired",Scoring!$B$18,IF($G210="",Scoring!$B$17,IF(W210&lt;=Scoring!$B$12,Scoring!$B$13,IF(W210&lt;=Scoring!$B$14,Scoring!$B$15,Scoring!$B$16))))</f>
        <v>2</v>
      </c>
      <c r="Y210" s="15" t="str">
        <f aca="false">IF($M210="","",ROUND((S210*Scoring!$B$6+U210*Scoring!$B$7)*IFERROR(INDEX(Scoring!$B$22:$B$24,MATCH($N210,Scoring!$A$22:$A$24,0)),1)+V210*Scoring!$B$8+X210,2))</f>
        <v/>
      </c>
      <c r="Z210" s="12" t="str">
        <f aca="false">IF($M210="","",IF(SUMPRODUCT(($M$5:$M$249=$M210)*($G$5:$G$249&gt;$G210))&gt;0,0,IF(SUMPRODUCT(($M$5:$M$249=$M210)*($G$5:$G$249=$G210)*(ROW($M$5:$M$249)&lt;ROW($M210)))&gt;0,0,1)))</f>
        <v/>
      </c>
      <c r="AA210" s="12" t="str">
        <f aca="false">IF($Z210=1,RANK($AE210,$AE$5:$AE$249,0),"")</f>
        <v/>
      </c>
      <c r="AB210" s="7" t="s">
        <v>153</v>
      </c>
      <c r="AC210" s="6" t="s">
        <v>162</v>
      </c>
      <c r="AD210" s="6"/>
      <c r="AE210" s="25" t="str">
        <f aca="false">IF($Z210=1,$Y210+$T210/1000000000-ROW()/10000000,"")</f>
        <v/>
      </c>
    </row>
    <row r="211" customFormat="false" ht="23.85" hidden="false" customHeight="false" outlineLevel="0" collapsed="false">
      <c r="A211" s="7" t="s">
        <v>1158</v>
      </c>
      <c r="B211" s="6" t="s">
        <v>1159</v>
      </c>
      <c r="C211" s="6" t="s">
        <v>1160</v>
      </c>
      <c r="D211" s="7" t="s">
        <v>757</v>
      </c>
      <c r="E211" s="7" t="s">
        <v>1142</v>
      </c>
      <c r="F211" s="12" t="s">
        <v>147</v>
      </c>
      <c r="G211" s="13" t="n">
        <v>46154</v>
      </c>
      <c r="H211" s="7" t="s">
        <v>1161</v>
      </c>
      <c r="I211" s="6" t="s">
        <v>149</v>
      </c>
      <c r="J211" s="7" t="s">
        <v>60</v>
      </c>
      <c r="K211" s="12"/>
      <c r="L211" s="10" t="s">
        <v>1162</v>
      </c>
      <c r="M211" s="7"/>
      <c r="N211" s="12"/>
      <c r="O211" s="12" t="str">
        <f aca="false">IF($M211="","",IF(COUNTIFS('QC listings'!$A$5:$A$200,$M211,'QC listings'!$C$5:$C$200,O$4,'QC listings'!$F$5:$F$200,"Listing page")+COUNTIFS('QC listings'!$A$5:$A$200,$M211,'QC listings'!$C$5:$C$200,O$4,'QC listings'!$F$5:$F$200,"Brand page")&gt;0,"Y",IF(COUNTIFS('QC listings'!$A$5:$A$200,$M211,'QC listings'!$C$5:$C$200,O$4)&gt;0,"?","–")))</f>
        <v/>
      </c>
      <c r="P211" s="12" t="str">
        <f aca="false">IF($M211="","",IF(COUNTIFS('QC listings'!$A$5:$A$200,$M211,'QC listings'!$C$5:$C$200,P$4,'QC listings'!$F$5:$F$200,"Listing page")+COUNTIFS('QC listings'!$A$5:$A$200,$M211,'QC listings'!$C$5:$C$200,P$4,'QC listings'!$F$5:$F$200,"Brand page")&gt;0,"Y",IF(COUNTIFS('QC listings'!$A$5:$A$200,$M211,'QC listings'!$C$5:$C$200,P$4)&gt;0,"?","–")))</f>
        <v/>
      </c>
      <c r="Q211" s="12" t="str">
        <f aca="false">IF($M211="","",IF(COUNTIFS('QC listings'!$A$5:$A$200,$M211,'QC listings'!$C$5:$C$200,Q$4,'QC listings'!$F$5:$F$200,"Listing page")+COUNTIFS('QC listings'!$A$5:$A$200,$M211,'QC listings'!$C$5:$C$200,Q$4,'QC listings'!$F$5:$F$200,"Brand page")&gt;0,"Y",IF(COUNTIFS('QC listings'!$A$5:$A$200,$M211,'QC listings'!$C$5:$C$200,Q$4)&gt;0,"?","–")))</f>
        <v/>
      </c>
      <c r="R211" s="12" t="str">
        <f aca="false">IF($M211="","",IF(COUNTIFS('QC listings'!$A$5:$A$200,$M211,'QC listings'!$C$5:$C$200,R$4,'QC listings'!$F$5:$F$200,"Listing page")+COUNTIFS('QC listings'!$A$5:$A$200,$M211,'QC listings'!$C$5:$C$200,R$4,'QC listings'!$F$5:$F$200,"Brand page")&gt;0,"Y",IF(COUNTIFS('QC listings'!$A$5:$A$200,$M211,'QC listings'!$C$5:$C$200,R$4)&gt;0,"?","–")))</f>
        <v/>
      </c>
      <c r="S211" s="12" t="str">
        <f aca="false">IF($M211="","",COUNTIF(O211:R211,"Y"))</f>
        <v/>
      </c>
      <c r="T211" s="23" t="str">
        <f aca="false">IF($M211="","",SUMPRODUCT(MAX(('QC listings'!$A$5:$A$200=$M211)*'QC listings'!$E$5:$E$200)))</f>
        <v/>
      </c>
      <c r="U211" s="12" t="str">
        <f aca="false">IF($M211="","",IF(T211&gt;=Scoring!$B$11,3,IF(T211&gt;=Scoring!$B$10,2,IF(T211&gt;=Scoring!$B$9,1,0))))</f>
        <v/>
      </c>
      <c r="V211" s="12" t="n">
        <f aca="false">IFERROR(INDEX(Scoring!$B$27:$B$56,MATCH($E211,Scoring!$A$27:$A$56,0)),0)</f>
        <v>0</v>
      </c>
      <c r="W211" s="24" t="n">
        <f aca="false">IF($G211="","",ROUND((Scoring!$B$5-$G211)/30.4375,1))</f>
        <v>4.7</v>
      </c>
      <c r="X211" s="12" t="n">
        <f aca="false">IF($F211="Expired",Scoring!$B$18,IF($G211="",Scoring!$B$17,IF(W211&lt;=Scoring!$B$12,Scoring!$B$13,IF(W211&lt;=Scoring!$B$14,Scoring!$B$15,Scoring!$B$16))))</f>
        <v>2</v>
      </c>
      <c r="Y211" s="15" t="str">
        <f aca="false">IF($M211="","",ROUND((S211*Scoring!$B$6+U211*Scoring!$B$7)*IFERROR(INDEX(Scoring!$B$22:$B$24,MATCH($N211,Scoring!$A$22:$A$24,0)),1)+V211*Scoring!$B$8+X211,2))</f>
        <v/>
      </c>
      <c r="Z211" s="12" t="str">
        <f aca="false">IF($M211="","",IF(SUMPRODUCT(($M$5:$M$249=$M211)*($G$5:$G$249&gt;$G211))&gt;0,0,IF(SUMPRODUCT(($M$5:$M$249=$M211)*($G$5:$G$249=$G211)*(ROW($M$5:$M$249)&lt;ROW($M211)))&gt;0,0,1)))</f>
        <v/>
      </c>
      <c r="AA211" s="12" t="str">
        <f aca="false">IF($Z211=1,RANK($AE211,$AE$5:$AE$249,0),"")</f>
        <v/>
      </c>
      <c r="AB211" s="7" t="s">
        <v>153</v>
      </c>
      <c r="AC211" s="6" t="s">
        <v>154</v>
      </c>
      <c r="AD211" s="6"/>
      <c r="AE211" s="25" t="str">
        <f aca="false">IF($Z211=1,$Y211+$T211/1000000000-ROW()/10000000,"")</f>
        <v/>
      </c>
    </row>
    <row r="212" customFormat="false" ht="23.85" hidden="false" customHeight="false" outlineLevel="0" collapsed="false">
      <c r="A212" s="7" t="s">
        <v>1163</v>
      </c>
      <c r="B212" s="6" t="s">
        <v>921</v>
      </c>
      <c r="C212" s="6" t="s">
        <v>1149</v>
      </c>
      <c r="D212" s="7" t="s">
        <v>757</v>
      </c>
      <c r="E212" s="7" t="s">
        <v>1142</v>
      </c>
      <c r="F212" s="12" t="s">
        <v>158</v>
      </c>
      <c r="G212" s="13" t="n">
        <v>46175</v>
      </c>
      <c r="H212" s="7" t="s">
        <v>1164</v>
      </c>
      <c r="I212" s="6" t="s">
        <v>149</v>
      </c>
      <c r="J212" s="7" t="s">
        <v>60</v>
      </c>
      <c r="K212" s="12"/>
      <c r="L212" s="10" t="s">
        <v>1165</v>
      </c>
      <c r="M212" s="7"/>
      <c r="N212" s="12"/>
      <c r="O212" s="12" t="str">
        <f aca="false">IF($M212="","",IF(COUNTIFS('QC listings'!$A$5:$A$200,$M212,'QC listings'!$C$5:$C$200,O$4,'QC listings'!$F$5:$F$200,"Listing page")+COUNTIFS('QC listings'!$A$5:$A$200,$M212,'QC listings'!$C$5:$C$200,O$4,'QC listings'!$F$5:$F$200,"Brand page")&gt;0,"Y",IF(COUNTIFS('QC listings'!$A$5:$A$200,$M212,'QC listings'!$C$5:$C$200,O$4)&gt;0,"?","–")))</f>
        <v/>
      </c>
      <c r="P212" s="12" t="str">
        <f aca="false">IF($M212="","",IF(COUNTIFS('QC listings'!$A$5:$A$200,$M212,'QC listings'!$C$5:$C$200,P$4,'QC listings'!$F$5:$F$200,"Listing page")+COUNTIFS('QC listings'!$A$5:$A$200,$M212,'QC listings'!$C$5:$C$200,P$4,'QC listings'!$F$5:$F$200,"Brand page")&gt;0,"Y",IF(COUNTIFS('QC listings'!$A$5:$A$200,$M212,'QC listings'!$C$5:$C$200,P$4)&gt;0,"?","–")))</f>
        <v/>
      </c>
      <c r="Q212" s="12" t="str">
        <f aca="false">IF($M212="","",IF(COUNTIFS('QC listings'!$A$5:$A$200,$M212,'QC listings'!$C$5:$C$200,Q$4,'QC listings'!$F$5:$F$200,"Listing page")+COUNTIFS('QC listings'!$A$5:$A$200,$M212,'QC listings'!$C$5:$C$200,Q$4,'QC listings'!$F$5:$F$200,"Brand page")&gt;0,"Y",IF(COUNTIFS('QC listings'!$A$5:$A$200,$M212,'QC listings'!$C$5:$C$200,Q$4)&gt;0,"?","–")))</f>
        <v/>
      </c>
      <c r="R212" s="12" t="str">
        <f aca="false">IF($M212="","",IF(COUNTIFS('QC listings'!$A$5:$A$200,$M212,'QC listings'!$C$5:$C$200,R$4,'QC listings'!$F$5:$F$200,"Listing page")+COUNTIFS('QC listings'!$A$5:$A$200,$M212,'QC listings'!$C$5:$C$200,R$4,'QC listings'!$F$5:$F$200,"Brand page")&gt;0,"Y",IF(COUNTIFS('QC listings'!$A$5:$A$200,$M212,'QC listings'!$C$5:$C$200,R$4)&gt;0,"?","–")))</f>
        <v/>
      </c>
      <c r="S212" s="12" t="str">
        <f aca="false">IF($M212="","",COUNTIF(O212:R212,"Y"))</f>
        <v/>
      </c>
      <c r="T212" s="23" t="str">
        <f aca="false">IF($M212="","",SUMPRODUCT(MAX(('QC listings'!$A$5:$A$200=$M212)*'QC listings'!$E$5:$E$200)))</f>
        <v/>
      </c>
      <c r="U212" s="12" t="str">
        <f aca="false">IF($M212="","",IF(T212&gt;=Scoring!$B$11,3,IF(T212&gt;=Scoring!$B$10,2,IF(T212&gt;=Scoring!$B$9,1,0))))</f>
        <v/>
      </c>
      <c r="V212" s="12" t="n">
        <f aca="false">IFERROR(INDEX(Scoring!$B$27:$B$56,MATCH($E212,Scoring!$A$27:$A$56,0)),0)</f>
        <v>0</v>
      </c>
      <c r="W212" s="24" t="n">
        <f aca="false">IF($G212="","",ROUND((Scoring!$B$5-$G212)/30.4375,1))</f>
        <v>4</v>
      </c>
      <c r="X212" s="12" t="n">
        <f aca="false">IF($F212="Expired",Scoring!$B$18,IF($G212="",Scoring!$B$17,IF(W212&lt;=Scoring!$B$12,Scoring!$B$13,IF(W212&lt;=Scoring!$B$14,Scoring!$B$15,Scoring!$B$16))))</f>
        <v>2</v>
      </c>
      <c r="Y212" s="15" t="str">
        <f aca="false">IF($M212="","",ROUND((S212*Scoring!$B$6+U212*Scoring!$B$7)*IFERROR(INDEX(Scoring!$B$22:$B$24,MATCH($N212,Scoring!$A$22:$A$24,0)),1)+V212*Scoring!$B$8+X212,2))</f>
        <v/>
      </c>
      <c r="Z212" s="12" t="str">
        <f aca="false">IF($M212="","",IF(SUMPRODUCT(($M$5:$M$249=$M212)*($G$5:$G$249&gt;$G212))&gt;0,0,IF(SUMPRODUCT(($M$5:$M$249=$M212)*($G$5:$G$249=$G212)*(ROW($M$5:$M$249)&lt;ROW($M212)))&gt;0,0,1)))</f>
        <v/>
      </c>
      <c r="AA212" s="12" t="str">
        <f aca="false">IF($Z212=1,RANK($AE212,$AE$5:$AE$249,0),"")</f>
        <v/>
      </c>
      <c r="AB212" s="7" t="s">
        <v>153</v>
      </c>
      <c r="AC212" s="6" t="s">
        <v>162</v>
      </c>
      <c r="AD212" s="6"/>
      <c r="AE212" s="25" t="str">
        <f aca="false">IF($Z212=1,$Y212+$T212/1000000000-ROW()/10000000,"")</f>
        <v/>
      </c>
    </row>
    <row r="213" customFormat="false" ht="23.85" hidden="false" customHeight="false" outlineLevel="0" collapsed="false">
      <c r="A213" s="7" t="s">
        <v>1166</v>
      </c>
      <c r="B213" s="6" t="s">
        <v>930</v>
      </c>
      <c r="C213" s="6" t="s">
        <v>1167</v>
      </c>
      <c r="D213" s="7" t="s">
        <v>757</v>
      </c>
      <c r="E213" s="7" t="s">
        <v>1142</v>
      </c>
      <c r="F213" s="12" t="s">
        <v>158</v>
      </c>
      <c r="G213" s="13" t="n">
        <v>45518</v>
      </c>
      <c r="H213" s="7" t="s">
        <v>1168</v>
      </c>
      <c r="I213" s="6" t="s">
        <v>149</v>
      </c>
      <c r="J213" s="7" t="s">
        <v>60</v>
      </c>
      <c r="K213" s="12"/>
      <c r="L213" s="10" t="s">
        <v>1169</v>
      </c>
      <c r="M213" s="7"/>
      <c r="N213" s="12"/>
      <c r="O213" s="12" t="str">
        <f aca="false">IF($M213="","",IF(COUNTIFS('QC listings'!$A$5:$A$200,$M213,'QC listings'!$C$5:$C$200,O$4,'QC listings'!$F$5:$F$200,"Listing page")+COUNTIFS('QC listings'!$A$5:$A$200,$M213,'QC listings'!$C$5:$C$200,O$4,'QC listings'!$F$5:$F$200,"Brand page")&gt;0,"Y",IF(COUNTIFS('QC listings'!$A$5:$A$200,$M213,'QC listings'!$C$5:$C$200,O$4)&gt;0,"?","–")))</f>
        <v/>
      </c>
      <c r="P213" s="12" t="str">
        <f aca="false">IF($M213="","",IF(COUNTIFS('QC listings'!$A$5:$A$200,$M213,'QC listings'!$C$5:$C$200,P$4,'QC listings'!$F$5:$F$200,"Listing page")+COUNTIFS('QC listings'!$A$5:$A$200,$M213,'QC listings'!$C$5:$C$200,P$4,'QC listings'!$F$5:$F$200,"Brand page")&gt;0,"Y",IF(COUNTIFS('QC listings'!$A$5:$A$200,$M213,'QC listings'!$C$5:$C$200,P$4)&gt;0,"?","–")))</f>
        <v/>
      </c>
      <c r="Q213" s="12" t="str">
        <f aca="false">IF($M213="","",IF(COUNTIFS('QC listings'!$A$5:$A$200,$M213,'QC listings'!$C$5:$C$200,Q$4,'QC listings'!$F$5:$F$200,"Listing page")+COUNTIFS('QC listings'!$A$5:$A$200,$M213,'QC listings'!$C$5:$C$200,Q$4,'QC listings'!$F$5:$F$200,"Brand page")&gt;0,"Y",IF(COUNTIFS('QC listings'!$A$5:$A$200,$M213,'QC listings'!$C$5:$C$200,Q$4)&gt;0,"?","–")))</f>
        <v/>
      </c>
      <c r="R213" s="12" t="str">
        <f aca="false">IF($M213="","",IF(COUNTIFS('QC listings'!$A$5:$A$200,$M213,'QC listings'!$C$5:$C$200,R$4,'QC listings'!$F$5:$F$200,"Listing page")+COUNTIFS('QC listings'!$A$5:$A$200,$M213,'QC listings'!$C$5:$C$200,R$4,'QC listings'!$F$5:$F$200,"Brand page")&gt;0,"Y",IF(COUNTIFS('QC listings'!$A$5:$A$200,$M213,'QC listings'!$C$5:$C$200,R$4)&gt;0,"?","–")))</f>
        <v/>
      </c>
      <c r="S213" s="12" t="str">
        <f aca="false">IF($M213="","",COUNTIF(O213:R213,"Y"))</f>
        <v/>
      </c>
      <c r="T213" s="23" t="str">
        <f aca="false">IF($M213="","",SUMPRODUCT(MAX(('QC listings'!$A$5:$A$200=$M213)*'QC listings'!$E$5:$E$200)))</f>
        <v/>
      </c>
      <c r="U213" s="12" t="str">
        <f aca="false">IF($M213="","",IF(T213&gt;=Scoring!$B$11,3,IF(T213&gt;=Scoring!$B$10,2,IF(T213&gt;=Scoring!$B$9,1,0))))</f>
        <v/>
      </c>
      <c r="V213" s="12" t="n">
        <f aca="false">IFERROR(INDEX(Scoring!$B$27:$B$56,MATCH($E213,Scoring!$A$27:$A$56,0)),0)</f>
        <v>0</v>
      </c>
      <c r="W213" s="24" t="n">
        <f aca="false">IF($G213="","",ROUND((Scoring!$B$5-$G213)/30.4375,1))</f>
        <v>25.6</v>
      </c>
      <c r="X213" s="12" t="n">
        <f aca="false">IF($F213="Expired",Scoring!$B$18,IF($G213="",Scoring!$B$17,IF(W213&lt;=Scoring!$B$12,Scoring!$B$13,IF(W213&lt;=Scoring!$B$14,Scoring!$B$15,Scoring!$B$16))))</f>
        <v>0</v>
      </c>
      <c r="Y213" s="15" t="str">
        <f aca="false">IF($M213="","",ROUND((S213*Scoring!$B$6+U213*Scoring!$B$7)*IFERROR(INDEX(Scoring!$B$22:$B$24,MATCH($N213,Scoring!$A$22:$A$24,0)),1)+V213*Scoring!$B$8+X213,2))</f>
        <v/>
      </c>
      <c r="Z213" s="12" t="str">
        <f aca="false">IF($M213="","",IF(SUMPRODUCT(($M$5:$M$249=$M213)*($G$5:$G$249&gt;$G213))&gt;0,0,IF(SUMPRODUCT(($M$5:$M$249=$M213)*($G$5:$G$249=$G213)*(ROW($M$5:$M$249)&lt;ROW($M213)))&gt;0,0,1)))</f>
        <v/>
      </c>
      <c r="AA213" s="12" t="str">
        <f aca="false">IF($Z213=1,RANK($AE213,$AE$5:$AE$249,0),"")</f>
        <v/>
      </c>
      <c r="AB213" s="7" t="s">
        <v>153</v>
      </c>
      <c r="AC213" s="6" t="s">
        <v>162</v>
      </c>
      <c r="AD213" s="6"/>
      <c r="AE213" s="25" t="str">
        <f aca="false">IF($Z213=1,$Y213+$T213/1000000000-ROW()/10000000,"")</f>
        <v/>
      </c>
    </row>
    <row r="214" customFormat="false" ht="23.85" hidden="false" customHeight="false" outlineLevel="0" collapsed="false">
      <c r="A214" s="7" t="s">
        <v>1170</v>
      </c>
      <c r="B214" s="6" t="s">
        <v>930</v>
      </c>
      <c r="C214" s="6" t="s">
        <v>1171</v>
      </c>
      <c r="D214" s="7" t="s">
        <v>757</v>
      </c>
      <c r="E214" s="7" t="s">
        <v>1142</v>
      </c>
      <c r="F214" s="12" t="s">
        <v>158</v>
      </c>
      <c r="G214" s="13" t="n">
        <v>46247</v>
      </c>
      <c r="H214" s="7" t="s">
        <v>1172</v>
      </c>
      <c r="I214" s="6" t="s">
        <v>149</v>
      </c>
      <c r="J214" s="7" t="s">
        <v>60</v>
      </c>
      <c r="K214" s="12"/>
      <c r="L214" s="10" t="s">
        <v>1173</v>
      </c>
      <c r="M214" s="7"/>
      <c r="N214" s="12"/>
      <c r="O214" s="12" t="str">
        <f aca="false">IF($M214="","",IF(COUNTIFS('QC listings'!$A$5:$A$200,$M214,'QC listings'!$C$5:$C$200,O$4,'QC listings'!$F$5:$F$200,"Listing page")+COUNTIFS('QC listings'!$A$5:$A$200,$M214,'QC listings'!$C$5:$C$200,O$4,'QC listings'!$F$5:$F$200,"Brand page")&gt;0,"Y",IF(COUNTIFS('QC listings'!$A$5:$A$200,$M214,'QC listings'!$C$5:$C$200,O$4)&gt;0,"?","–")))</f>
        <v/>
      </c>
      <c r="P214" s="12" t="str">
        <f aca="false">IF($M214="","",IF(COUNTIFS('QC listings'!$A$5:$A$200,$M214,'QC listings'!$C$5:$C$200,P$4,'QC listings'!$F$5:$F$200,"Listing page")+COUNTIFS('QC listings'!$A$5:$A$200,$M214,'QC listings'!$C$5:$C$200,P$4,'QC listings'!$F$5:$F$200,"Brand page")&gt;0,"Y",IF(COUNTIFS('QC listings'!$A$5:$A$200,$M214,'QC listings'!$C$5:$C$200,P$4)&gt;0,"?","–")))</f>
        <v/>
      </c>
      <c r="Q214" s="12" t="str">
        <f aca="false">IF($M214="","",IF(COUNTIFS('QC listings'!$A$5:$A$200,$M214,'QC listings'!$C$5:$C$200,Q$4,'QC listings'!$F$5:$F$200,"Listing page")+COUNTIFS('QC listings'!$A$5:$A$200,$M214,'QC listings'!$C$5:$C$200,Q$4,'QC listings'!$F$5:$F$200,"Brand page")&gt;0,"Y",IF(COUNTIFS('QC listings'!$A$5:$A$200,$M214,'QC listings'!$C$5:$C$200,Q$4)&gt;0,"?","–")))</f>
        <v/>
      </c>
      <c r="R214" s="12" t="str">
        <f aca="false">IF($M214="","",IF(COUNTIFS('QC listings'!$A$5:$A$200,$M214,'QC listings'!$C$5:$C$200,R$4,'QC listings'!$F$5:$F$200,"Listing page")+COUNTIFS('QC listings'!$A$5:$A$200,$M214,'QC listings'!$C$5:$C$200,R$4,'QC listings'!$F$5:$F$200,"Brand page")&gt;0,"Y",IF(COUNTIFS('QC listings'!$A$5:$A$200,$M214,'QC listings'!$C$5:$C$200,R$4)&gt;0,"?","–")))</f>
        <v/>
      </c>
      <c r="S214" s="12" t="str">
        <f aca="false">IF($M214="","",COUNTIF(O214:R214,"Y"))</f>
        <v/>
      </c>
      <c r="T214" s="23" t="str">
        <f aca="false">IF($M214="","",SUMPRODUCT(MAX(('QC listings'!$A$5:$A$200=$M214)*'QC listings'!$E$5:$E$200)))</f>
        <v/>
      </c>
      <c r="U214" s="12" t="str">
        <f aca="false">IF($M214="","",IF(T214&gt;=Scoring!$B$11,3,IF(T214&gt;=Scoring!$B$10,2,IF(T214&gt;=Scoring!$B$9,1,0))))</f>
        <v/>
      </c>
      <c r="V214" s="12" t="n">
        <f aca="false">IFERROR(INDEX(Scoring!$B$27:$B$56,MATCH($E214,Scoring!$A$27:$A$56,0)),0)</f>
        <v>0</v>
      </c>
      <c r="W214" s="24" t="n">
        <f aca="false">IF($G214="","",ROUND((Scoring!$B$5-$G214)/30.4375,1))</f>
        <v>1.6</v>
      </c>
      <c r="X214" s="12" t="n">
        <f aca="false">IF($F214="Expired",Scoring!$B$18,IF($G214="",Scoring!$B$17,IF(W214&lt;=Scoring!$B$12,Scoring!$B$13,IF(W214&lt;=Scoring!$B$14,Scoring!$B$15,Scoring!$B$16))))</f>
        <v>2</v>
      </c>
      <c r="Y214" s="15" t="str">
        <f aca="false">IF($M214="","",ROUND((S214*Scoring!$B$6+U214*Scoring!$B$7)*IFERROR(INDEX(Scoring!$B$22:$B$24,MATCH($N214,Scoring!$A$22:$A$24,0)),1)+V214*Scoring!$B$8+X214,2))</f>
        <v/>
      </c>
      <c r="Z214" s="12" t="str">
        <f aca="false">IF($M214="","",IF(SUMPRODUCT(($M$5:$M$249=$M214)*($G$5:$G$249&gt;$G214))&gt;0,0,IF(SUMPRODUCT(($M$5:$M$249=$M214)*($G$5:$G$249=$G214)*(ROW($M$5:$M$249)&lt;ROW($M214)))&gt;0,0,1)))</f>
        <v/>
      </c>
      <c r="AA214" s="12" t="str">
        <f aca="false">IF($Z214=1,RANK($AE214,$AE$5:$AE$249,0),"")</f>
        <v/>
      </c>
      <c r="AB214" s="7" t="s">
        <v>153</v>
      </c>
      <c r="AC214" s="6" t="s">
        <v>162</v>
      </c>
      <c r="AD214" s="6"/>
      <c r="AE214" s="25" t="str">
        <f aca="false">IF($Z214=1,$Y214+$T214/1000000000-ROW()/10000000,"")</f>
        <v/>
      </c>
    </row>
    <row r="215" customFormat="false" ht="23.85" hidden="false" customHeight="false" outlineLevel="0" collapsed="false">
      <c r="A215" s="7" t="s">
        <v>1174</v>
      </c>
      <c r="B215" s="6" t="s">
        <v>1107</v>
      </c>
      <c r="C215" s="6" t="s">
        <v>1175</v>
      </c>
      <c r="D215" s="7" t="s">
        <v>757</v>
      </c>
      <c r="E215" s="7" t="s">
        <v>1142</v>
      </c>
      <c r="F215" s="12" t="s">
        <v>158</v>
      </c>
      <c r="G215" s="13" t="n">
        <v>46141</v>
      </c>
      <c r="H215" s="7" t="s">
        <v>1176</v>
      </c>
      <c r="I215" s="6" t="s">
        <v>149</v>
      </c>
      <c r="J215" s="7" t="s">
        <v>60</v>
      </c>
      <c r="K215" s="12"/>
      <c r="L215" s="10" t="s">
        <v>1177</v>
      </c>
      <c r="M215" s="7"/>
      <c r="N215" s="12"/>
      <c r="O215" s="12" t="str">
        <f aca="false">IF($M215="","",IF(COUNTIFS('QC listings'!$A$5:$A$200,$M215,'QC listings'!$C$5:$C$200,O$4,'QC listings'!$F$5:$F$200,"Listing page")+COUNTIFS('QC listings'!$A$5:$A$200,$M215,'QC listings'!$C$5:$C$200,O$4,'QC listings'!$F$5:$F$200,"Brand page")&gt;0,"Y",IF(COUNTIFS('QC listings'!$A$5:$A$200,$M215,'QC listings'!$C$5:$C$200,O$4)&gt;0,"?","–")))</f>
        <v/>
      </c>
      <c r="P215" s="12" t="str">
        <f aca="false">IF($M215="","",IF(COUNTIFS('QC listings'!$A$5:$A$200,$M215,'QC listings'!$C$5:$C$200,P$4,'QC listings'!$F$5:$F$200,"Listing page")+COUNTIFS('QC listings'!$A$5:$A$200,$M215,'QC listings'!$C$5:$C$200,P$4,'QC listings'!$F$5:$F$200,"Brand page")&gt;0,"Y",IF(COUNTIFS('QC listings'!$A$5:$A$200,$M215,'QC listings'!$C$5:$C$200,P$4)&gt;0,"?","–")))</f>
        <v/>
      </c>
      <c r="Q215" s="12" t="str">
        <f aca="false">IF($M215="","",IF(COUNTIFS('QC listings'!$A$5:$A$200,$M215,'QC listings'!$C$5:$C$200,Q$4,'QC listings'!$F$5:$F$200,"Listing page")+COUNTIFS('QC listings'!$A$5:$A$200,$M215,'QC listings'!$C$5:$C$200,Q$4,'QC listings'!$F$5:$F$200,"Brand page")&gt;0,"Y",IF(COUNTIFS('QC listings'!$A$5:$A$200,$M215,'QC listings'!$C$5:$C$200,Q$4)&gt;0,"?","–")))</f>
        <v/>
      </c>
      <c r="R215" s="12" t="str">
        <f aca="false">IF($M215="","",IF(COUNTIFS('QC listings'!$A$5:$A$200,$M215,'QC listings'!$C$5:$C$200,R$4,'QC listings'!$F$5:$F$200,"Listing page")+COUNTIFS('QC listings'!$A$5:$A$200,$M215,'QC listings'!$C$5:$C$200,R$4,'QC listings'!$F$5:$F$200,"Brand page")&gt;0,"Y",IF(COUNTIFS('QC listings'!$A$5:$A$200,$M215,'QC listings'!$C$5:$C$200,R$4)&gt;0,"?","–")))</f>
        <v/>
      </c>
      <c r="S215" s="12" t="str">
        <f aca="false">IF($M215="","",COUNTIF(O215:R215,"Y"))</f>
        <v/>
      </c>
      <c r="T215" s="23" t="str">
        <f aca="false">IF($M215="","",SUMPRODUCT(MAX(('QC listings'!$A$5:$A$200=$M215)*'QC listings'!$E$5:$E$200)))</f>
        <v/>
      </c>
      <c r="U215" s="12" t="str">
        <f aca="false">IF($M215="","",IF(T215&gt;=Scoring!$B$11,3,IF(T215&gt;=Scoring!$B$10,2,IF(T215&gt;=Scoring!$B$9,1,0))))</f>
        <v/>
      </c>
      <c r="V215" s="12" t="n">
        <f aca="false">IFERROR(INDEX(Scoring!$B$27:$B$56,MATCH($E215,Scoring!$A$27:$A$56,0)),0)</f>
        <v>0</v>
      </c>
      <c r="W215" s="24" t="n">
        <f aca="false">IF($G215="","",ROUND((Scoring!$B$5-$G215)/30.4375,1))</f>
        <v>5.1</v>
      </c>
      <c r="X215" s="12" t="n">
        <f aca="false">IF($F215="Expired",Scoring!$B$18,IF($G215="",Scoring!$B$17,IF(W215&lt;=Scoring!$B$12,Scoring!$B$13,IF(W215&lt;=Scoring!$B$14,Scoring!$B$15,Scoring!$B$16))))</f>
        <v>2</v>
      </c>
      <c r="Y215" s="15" t="str">
        <f aca="false">IF($M215="","",ROUND((S215*Scoring!$B$6+U215*Scoring!$B$7)*IFERROR(INDEX(Scoring!$B$22:$B$24,MATCH($N215,Scoring!$A$22:$A$24,0)),1)+V215*Scoring!$B$8+X215,2))</f>
        <v/>
      </c>
      <c r="Z215" s="12" t="str">
        <f aca="false">IF($M215="","",IF(SUMPRODUCT(($M$5:$M$249=$M215)*($G$5:$G$249&gt;$G215))&gt;0,0,IF(SUMPRODUCT(($M$5:$M$249=$M215)*($G$5:$G$249=$G215)*(ROW($M$5:$M$249)&lt;ROW($M215)))&gt;0,0,1)))</f>
        <v/>
      </c>
      <c r="AA215" s="12" t="str">
        <f aca="false">IF($Z215=1,RANK($AE215,$AE$5:$AE$249,0),"")</f>
        <v/>
      </c>
      <c r="AB215" s="7" t="s">
        <v>153</v>
      </c>
      <c r="AC215" s="6" t="s">
        <v>162</v>
      </c>
      <c r="AD215" s="6"/>
      <c r="AE215" s="25" t="str">
        <f aca="false">IF($Z215=1,$Y215+$T215/1000000000-ROW()/10000000,"")</f>
        <v/>
      </c>
    </row>
    <row r="216" customFormat="false" ht="23.85" hidden="false" customHeight="false" outlineLevel="0" collapsed="false">
      <c r="A216" s="7" t="s">
        <v>1178</v>
      </c>
      <c r="B216" s="6" t="s">
        <v>1179</v>
      </c>
      <c r="C216" s="6" t="s">
        <v>1180</v>
      </c>
      <c r="D216" s="7" t="s">
        <v>757</v>
      </c>
      <c r="E216" s="7" t="s">
        <v>1142</v>
      </c>
      <c r="F216" s="12" t="s">
        <v>549</v>
      </c>
      <c r="G216" s="13" t="n">
        <v>45861</v>
      </c>
      <c r="H216" s="7" t="s">
        <v>1181</v>
      </c>
      <c r="I216" s="6" t="s">
        <v>149</v>
      </c>
      <c r="J216" s="7" t="s">
        <v>60</v>
      </c>
      <c r="K216" s="12"/>
      <c r="L216" s="10" t="s">
        <v>1182</v>
      </c>
      <c r="M216" s="7"/>
      <c r="N216" s="12"/>
      <c r="O216" s="12" t="str">
        <f aca="false">IF($M216="","",IF(COUNTIFS('QC listings'!$A$5:$A$200,$M216,'QC listings'!$C$5:$C$200,O$4,'QC listings'!$F$5:$F$200,"Listing page")+COUNTIFS('QC listings'!$A$5:$A$200,$M216,'QC listings'!$C$5:$C$200,O$4,'QC listings'!$F$5:$F$200,"Brand page")&gt;0,"Y",IF(COUNTIFS('QC listings'!$A$5:$A$200,$M216,'QC listings'!$C$5:$C$200,O$4)&gt;0,"?","–")))</f>
        <v/>
      </c>
      <c r="P216" s="12" t="str">
        <f aca="false">IF($M216="","",IF(COUNTIFS('QC listings'!$A$5:$A$200,$M216,'QC listings'!$C$5:$C$200,P$4,'QC listings'!$F$5:$F$200,"Listing page")+COUNTIFS('QC listings'!$A$5:$A$200,$M216,'QC listings'!$C$5:$C$200,P$4,'QC listings'!$F$5:$F$200,"Brand page")&gt;0,"Y",IF(COUNTIFS('QC listings'!$A$5:$A$200,$M216,'QC listings'!$C$5:$C$200,P$4)&gt;0,"?","–")))</f>
        <v/>
      </c>
      <c r="Q216" s="12" t="str">
        <f aca="false">IF($M216="","",IF(COUNTIFS('QC listings'!$A$5:$A$200,$M216,'QC listings'!$C$5:$C$200,Q$4,'QC listings'!$F$5:$F$200,"Listing page")+COUNTIFS('QC listings'!$A$5:$A$200,$M216,'QC listings'!$C$5:$C$200,Q$4,'QC listings'!$F$5:$F$200,"Brand page")&gt;0,"Y",IF(COUNTIFS('QC listings'!$A$5:$A$200,$M216,'QC listings'!$C$5:$C$200,Q$4)&gt;0,"?","–")))</f>
        <v/>
      </c>
      <c r="R216" s="12" t="str">
        <f aca="false">IF($M216="","",IF(COUNTIFS('QC listings'!$A$5:$A$200,$M216,'QC listings'!$C$5:$C$200,R$4,'QC listings'!$F$5:$F$200,"Listing page")+COUNTIFS('QC listings'!$A$5:$A$200,$M216,'QC listings'!$C$5:$C$200,R$4,'QC listings'!$F$5:$F$200,"Brand page")&gt;0,"Y",IF(COUNTIFS('QC listings'!$A$5:$A$200,$M216,'QC listings'!$C$5:$C$200,R$4)&gt;0,"?","–")))</f>
        <v/>
      </c>
      <c r="S216" s="12" t="str">
        <f aca="false">IF($M216="","",COUNTIF(O216:R216,"Y"))</f>
        <v/>
      </c>
      <c r="T216" s="23" t="str">
        <f aca="false">IF($M216="","",SUMPRODUCT(MAX(('QC listings'!$A$5:$A$200=$M216)*'QC listings'!$E$5:$E$200)))</f>
        <v/>
      </c>
      <c r="U216" s="12" t="str">
        <f aca="false">IF($M216="","",IF(T216&gt;=Scoring!$B$11,3,IF(T216&gt;=Scoring!$B$10,2,IF(T216&gt;=Scoring!$B$9,1,0))))</f>
        <v/>
      </c>
      <c r="V216" s="12" t="n">
        <f aca="false">IFERROR(INDEX(Scoring!$B$27:$B$56,MATCH($E216,Scoring!$A$27:$A$56,0)),0)</f>
        <v>0</v>
      </c>
      <c r="W216" s="24" t="n">
        <f aca="false">IF($G216="","",ROUND((Scoring!$B$5-$G216)/30.4375,1))</f>
        <v>14.3</v>
      </c>
      <c r="X216" s="12" t="n">
        <f aca="false">IF($F216="Expired",Scoring!$B$18,IF($G216="",Scoring!$B$17,IF(W216&lt;=Scoring!$B$12,Scoring!$B$13,IF(W216&lt;=Scoring!$B$14,Scoring!$B$15,Scoring!$B$16))))</f>
        <v>0</v>
      </c>
      <c r="Y216" s="15" t="str">
        <f aca="false">IF($M216="","",ROUND((S216*Scoring!$B$6+U216*Scoring!$B$7)*IFERROR(INDEX(Scoring!$B$22:$B$24,MATCH($N216,Scoring!$A$22:$A$24,0)),1)+V216*Scoring!$B$8+X216,2))</f>
        <v/>
      </c>
      <c r="Z216" s="12" t="str">
        <f aca="false">IF($M216="","",IF(SUMPRODUCT(($M$5:$M$249=$M216)*($G$5:$G$249&gt;$G216))&gt;0,0,IF(SUMPRODUCT(($M$5:$M$249=$M216)*($G$5:$G$249=$G216)*(ROW($M$5:$M$249)&lt;ROW($M216)))&gt;0,0,1)))</f>
        <v/>
      </c>
      <c r="AA216" s="12" t="str">
        <f aca="false">IF($Z216=1,RANK($AE216,$AE$5:$AE$249,0),"")</f>
        <v/>
      </c>
      <c r="AB216" s="7" t="s">
        <v>153</v>
      </c>
      <c r="AC216" s="6" t="s">
        <v>642</v>
      </c>
      <c r="AD216" s="6"/>
      <c r="AE216" s="25" t="str">
        <f aca="false">IF($Z216=1,$Y216+$T216/1000000000-ROW()/10000000,"")</f>
        <v/>
      </c>
    </row>
    <row r="217" customFormat="false" ht="23.85" hidden="false" customHeight="false" outlineLevel="0" collapsed="false">
      <c r="A217" s="7" t="s">
        <v>1183</v>
      </c>
      <c r="B217" s="6" t="s">
        <v>236</v>
      </c>
      <c r="C217" s="6" t="s">
        <v>1149</v>
      </c>
      <c r="D217" s="7" t="s">
        <v>757</v>
      </c>
      <c r="E217" s="7" t="s">
        <v>1142</v>
      </c>
      <c r="F217" s="12" t="s">
        <v>158</v>
      </c>
      <c r="G217" s="13" t="n">
        <v>46150</v>
      </c>
      <c r="H217" s="7" t="s">
        <v>1184</v>
      </c>
      <c r="I217" s="6" t="s">
        <v>149</v>
      </c>
      <c r="J217" s="7" t="s">
        <v>60</v>
      </c>
      <c r="K217" s="12"/>
      <c r="L217" s="10" t="s">
        <v>1185</v>
      </c>
      <c r="M217" s="7"/>
      <c r="N217" s="12"/>
      <c r="O217" s="12" t="str">
        <f aca="false">IF($M217="","",IF(COUNTIFS('QC listings'!$A$5:$A$200,$M217,'QC listings'!$C$5:$C$200,O$4,'QC listings'!$F$5:$F$200,"Listing page")+COUNTIFS('QC listings'!$A$5:$A$200,$M217,'QC listings'!$C$5:$C$200,O$4,'QC listings'!$F$5:$F$200,"Brand page")&gt;0,"Y",IF(COUNTIFS('QC listings'!$A$5:$A$200,$M217,'QC listings'!$C$5:$C$200,O$4)&gt;0,"?","–")))</f>
        <v/>
      </c>
      <c r="P217" s="12" t="str">
        <f aca="false">IF($M217="","",IF(COUNTIFS('QC listings'!$A$5:$A$200,$M217,'QC listings'!$C$5:$C$200,P$4,'QC listings'!$F$5:$F$200,"Listing page")+COUNTIFS('QC listings'!$A$5:$A$200,$M217,'QC listings'!$C$5:$C$200,P$4,'QC listings'!$F$5:$F$200,"Brand page")&gt;0,"Y",IF(COUNTIFS('QC listings'!$A$5:$A$200,$M217,'QC listings'!$C$5:$C$200,P$4)&gt;0,"?","–")))</f>
        <v/>
      </c>
      <c r="Q217" s="12" t="str">
        <f aca="false">IF($M217="","",IF(COUNTIFS('QC listings'!$A$5:$A$200,$M217,'QC listings'!$C$5:$C$200,Q$4,'QC listings'!$F$5:$F$200,"Listing page")+COUNTIFS('QC listings'!$A$5:$A$200,$M217,'QC listings'!$C$5:$C$200,Q$4,'QC listings'!$F$5:$F$200,"Brand page")&gt;0,"Y",IF(COUNTIFS('QC listings'!$A$5:$A$200,$M217,'QC listings'!$C$5:$C$200,Q$4)&gt;0,"?","–")))</f>
        <v/>
      </c>
      <c r="R217" s="12" t="str">
        <f aca="false">IF($M217="","",IF(COUNTIFS('QC listings'!$A$5:$A$200,$M217,'QC listings'!$C$5:$C$200,R$4,'QC listings'!$F$5:$F$200,"Listing page")+COUNTIFS('QC listings'!$A$5:$A$200,$M217,'QC listings'!$C$5:$C$200,R$4,'QC listings'!$F$5:$F$200,"Brand page")&gt;0,"Y",IF(COUNTIFS('QC listings'!$A$5:$A$200,$M217,'QC listings'!$C$5:$C$200,R$4)&gt;0,"?","–")))</f>
        <v/>
      </c>
      <c r="S217" s="12" t="str">
        <f aca="false">IF($M217="","",COUNTIF(O217:R217,"Y"))</f>
        <v/>
      </c>
      <c r="T217" s="23" t="str">
        <f aca="false">IF($M217="","",SUMPRODUCT(MAX(('QC listings'!$A$5:$A$200=$M217)*'QC listings'!$E$5:$E$200)))</f>
        <v/>
      </c>
      <c r="U217" s="12" t="str">
        <f aca="false">IF($M217="","",IF(T217&gt;=Scoring!$B$11,3,IF(T217&gt;=Scoring!$B$10,2,IF(T217&gt;=Scoring!$B$9,1,0))))</f>
        <v/>
      </c>
      <c r="V217" s="12" t="n">
        <f aca="false">IFERROR(INDEX(Scoring!$B$27:$B$56,MATCH($E217,Scoring!$A$27:$A$56,0)),0)</f>
        <v>0</v>
      </c>
      <c r="W217" s="24" t="n">
        <f aca="false">IF($G217="","",ROUND((Scoring!$B$5-$G217)/30.4375,1))</f>
        <v>4.8</v>
      </c>
      <c r="X217" s="12" t="n">
        <f aca="false">IF($F217="Expired",Scoring!$B$18,IF($G217="",Scoring!$B$17,IF(W217&lt;=Scoring!$B$12,Scoring!$B$13,IF(W217&lt;=Scoring!$B$14,Scoring!$B$15,Scoring!$B$16))))</f>
        <v>2</v>
      </c>
      <c r="Y217" s="15" t="str">
        <f aca="false">IF($M217="","",ROUND((S217*Scoring!$B$6+U217*Scoring!$B$7)*IFERROR(INDEX(Scoring!$B$22:$B$24,MATCH($N217,Scoring!$A$22:$A$24,0)),1)+V217*Scoring!$B$8+X217,2))</f>
        <v/>
      </c>
      <c r="Z217" s="12" t="str">
        <f aca="false">IF($M217="","",IF(SUMPRODUCT(($M$5:$M$249=$M217)*($G$5:$G$249&gt;$G217))&gt;0,0,IF(SUMPRODUCT(($M$5:$M$249=$M217)*($G$5:$G$249=$G217)*(ROW($M$5:$M$249)&lt;ROW($M217)))&gt;0,0,1)))</f>
        <v/>
      </c>
      <c r="AA217" s="12" t="str">
        <f aca="false">IF($Z217=1,RANK($AE217,$AE$5:$AE$249,0),"")</f>
        <v/>
      </c>
      <c r="AB217" s="7" t="s">
        <v>153</v>
      </c>
      <c r="AC217" s="6" t="s">
        <v>162</v>
      </c>
      <c r="AD217" s="6"/>
      <c r="AE217" s="25" t="str">
        <f aca="false">IF($Z217=1,$Y217+$T217/1000000000-ROW()/10000000,"")</f>
        <v/>
      </c>
    </row>
    <row r="218" customFormat="false" ht="23.85" hidden="false" customHeight="false" outlineLevel="0" collapsed="false">
      <c r="A218" s="7" t="s">
        <v>1186</v>
      </c>
      <c r="B218" s="6" t="s">
        <v>979</v>
      </c>
      <c r="C218" s="6" t="s">
        <v>1187</v>
      </c>
      <c r="D218" s="7" t="s">
        <v>757</v>
      </c>
      <c r="E218" s="7" t="s">
        <v>1142</v>
      </c>
      <c r="F218" s="12" t="s">
        <v>158</v>
      </c>
      <c r="G218" s="13" t="n">
        <v>46052</v>
      </c>
      <c r="H218" s="7" t="s">
        <v>1188</v>
      </c>
      <c r="I218" s="6" t="s">
        <v>149</v>
      </c>
      <c r="J218" s="7" t="s">
        <v>60</v>
      </c>
      <c r="K218" s="12"/>
      <c r="L218" s="10" t="s">
        <v>1189</v>
      </c>
      <c r="M218" s="7"/>
      <c r="N218" s="12"/>
      <c r="O218" s="12" t="str">
        <f aca="false">IF($M218="","",IF(COUNTIFS('QC listings'!$A$5:$A$200,$M218,'QC listings'!$C$5:$C$200,O$4,'QC listings'!$F$5:$F$200,"Listing page")+COUNTIFS('QC listings'!$A$5:$A$200,$M218,'QC listings'!$C$5:$C$200,O$4,'QC listings'!$F$5:$F$200,"Brand page")&gt;0,"Y",IF(COUNTIFS('QC listings'!$A$5:$A$200,$M218,'QC listings'!$C$5:$C$200,O$4)&gt;0,"?","–")))</f>
        <v/>
      </c>
      <c r="P218" s="12" t="str">
        <f aca="false">IF($M218="","",IF(COUNTIFS('QC listings'!$A$5:$A$200,$M218,'QC listings'!$C$5:$C$200,P$4,'QC listings'!$F$5:$F$200,"Listing page")+COUNTIFS('QC listings'!$A$5:$A$200,$M218,'QC listings'!$C$5:$C$200,P$4,'QC listings'!$F$5:$F$200,"Brand page")&gt;0,"Y",IF(COUNTIFS('QC listings'!$A$5:$A$200,$M218,'QC listings'!$C$5:$C$200,P$4)&gt;0,"?","–")))</f>
        <v/>
      </c>
      <c r="Q218" s="12" t="str">
        <f aca="false">IF($M218="","",IF(COUNTIFS('QC listings'!$A$5:$A$200,$M218,'QC listings'!$C$5:$C$200,Q$4,'QC listings'!$F$5:$F$200,"Listing page")+COUNTIFS('QC listings'!$A$5:$A$200,$M218,'QC listings'!$C$5:$C$200,Q$4,'QC listings'!$F$5:$F$200,"Brand page")&gt;0,"Y",IF(COUNTIFS('QC listings'!$A$5:$A$200,$M218,'QC listings'!$C$5:$C$200,Q$4)&gt;0,"?","–")))</f>
        <v/>
      </c>
      <c r="R218" s="12" t="str">
        <f aca="false">IF($M218="","",IF(COUNTIFS('QC listings'!$A$5:$A$200,$M218,'QC listings'!$C$5:$C$200,R$4,'QC listings'!$F$5:$F$200,"Listing page")+COUNTIFS('QC listings'!$A$5:$A$200,$M218,'QC listings'!$C$5:$C$200,R$4,'QC listings'!$F$5:$F$200,"Brand page")&gt;0,"Y",IF(COUNTIFS('QC listings'!$A$5:$A$200,$M218,'QC listings'!$C$5:$C$200,R$4)&gt;0,"?","–")))</f>
        <v/>
      </c>
      <c r="S218" s="12" t="str">
        <f aca="false">IF($M218="","",COUNTIF(O218:R218,"Y"))</f>
        <v/>
      </c>
      <c r="T218" s="23" t="str">
        <f aca="false">IF($M218="","",SUMPRODUCT(MAX(('QC listings'!$A$5:$A$200=$M218)*'QC listings'!$E$5:$E$200)))</f>
        <v/>
      </c>
      <c r="U218" s="12" t="str">
        <f aca="false">IF($M218="","",IF(T218&gt;=Scoring!$B$11,3,IF(T218&gt;=Scoring!$B$10,2,IF(T218&gt;=Scoring!$B$9,1,0))))</f>
        <v/>
      </c>
      <c r="V218" s="12" t="n">
        <f aca="false">IFERROR(INDEX(Scoring!$B$27:$B$56,MATCH($E218,Scoring!$A$27:$A$56,0)),0)</f>
        <v>0</v>
      </c>
      <c r="W218" s="24" t="n">
        <f aca="false">IF($G218="","",ROUND((Scoring!$B$5-$G218)/30.4375,1))</f>
        <v>8</v>
      </c>
      <c r="X218" s="12" t="n">
        <f aca="false">IF($F218="Expired",Scoring!$B$18,IF($G218="",Scoring!$B$17,IF(W218&lt;=Scoring!$B$12,Scoring!$B$13,IF(W218&lt;=Scoring!$B$14,Scoring!$B$15,Scoring!$B$16))))</f>
        <v>2</v>
      </c>
      <c r="Y218" s="15" t="str">
        <f aca="false">IF($M218="","",ROUND((S218*Scoring!$B$6+U218*Scoring!$B$7)*IFERROR(INDEX(Scoring!$B$22:$B$24,MATCH($N218,Scoring!$A$22:$A$24,0)),1)+V218*Scoring!$B$8+X218,2))</f>
        <v/>
      </c>
      <c r="Z218" s="12" t="str">
        <f aca="false">IF($M218="","",IF(SUMPRODUCT(($M$5:$M$249=$M218)*($G$5:$G$249&gt;$G218))&gt;0,0,IF(SUMPRODUCT(($M$5:$M$249=$M218)*($G$5:$G$249=$G218)*(ROW($M$5:$M$249)&lt;ROW($M218)))&gt;0,0,1)))</f>
        <v/>
      </c>
      <c r="AA218" s="12" t="str">
        <f aca="false">IF($Z218=1,RANK($AE218,$AE$5:$AE$249,0),"")</f>
        <v/>
      </c>
      <c r="AB218" s="7" t="s">
        <v>153</v>
      </c>
      <c r="AC218" s="6" t="s">
        <v>162</v>
      </c>
      <c r="AD218" s="6"/>
      <c r="AE218" s="25" t="str">
        <f aca="false">IF($Z218=1,$Y218+$T218/1000000000-ROW()/10000000,"")</f>
        <v/>
      </c>
    </row>
    <row r="219" customFormat="false" ht="23.85" hidden="false" customHeight="false" outlineLevel="0" collapsed="false">
      <c r="A219" s="7" t="s">
        <v>1190</v>
      </c>
      <c r="B219" s="6" t="s">
        <v>1191</v>
      </c>
      <c r="C219" s="6" t="s">
        <v>1192</v>
      </c>
      <c r="D219" s="7" t="s">
        <v>1193</v>
      </c>
      <c r="E219" s="7" t="s">
        <v>1194</v>
      </c>
      <c r="F219" s="12" t="s">
        <v>838</v>
      </c>
      <c r="G219" s="13" t="n">
        <v>46173</v>
      </c>
      <c r="H219" s="7" t="s">
        <v>1195</v>
      </c>
      <c r="I219" s="6" t="s">
        <v>149</v>
      </c>
      <c r="J219" s="7" t="s">
        <v>60</v>
      </c>
      <c r="K219" s="12"/>
      <c r="L219" s="10" t="s">
        <v>1196</v>
      </c>
      <c r="M219" s="7"/>
      <c r="N219" s="12"/>
      <c r="O219" s="12" t="str">
        <f aca="false">IF($M219="","",IF(COUNTIFS('QC listings'!$A$5:$A$200,$M219,'QC listings'!$C$5:$C$200,O$4,'QC listings'!$F$5:$F$200,"Listing page")+COUNTIFS('QC listings'!$A$5:$A$200,$M219,'QC listings'!$C$5:$C$200,O$4,'QC listings'!$F$5:$F$200,"Brand page")&gt;0,"Y",IF(COUNTIFS('QC listings'!$A$5:$A$200,$M219,'QC listings'!$C$5:$C$200,O$4)&gt;0,"?","–")))</f>
        <v/>
      </c>
      <c r="P219" s="12" t="str">
        <f aca="false">IF($M219="","",IF(COUNTIFS('QC listings'!$A$5:$A$200,$M219,'QC listings'!$C$5:$C$200,P$4,'QC listings'!$F$5:$F$200,"Listing page")+COUNTIFS('QC listings'!$A$5:$A$200,$M219,'QC listings'!$C$5:$C$200,P$4,'QC listings'!$F$5:$F$200,"Brand page")&gt;0,"Y",IF(COUNTIFS('QC listings'!$A$5:$A$200,$M219,'QC listings'!$C$5:$C$200,P$4)&gt;0,"?","–")))</f>
        <v/>
      </c>
      <c r="Q219" s="12" t="str">
        <f aca="false">IF($M219="","",IF(COUNTIFS('QC listings'!$A$5:$A$200,$M219,'QC listings'!$C$5:$C$200,Q$4,'QC listings'!$F$5:$F$200,"Listing page")+COUNTIFS('QC listings'!$A$5:$A$200,$M219,'QC listings'!$C$5:$C$200,Q$4,'QC listings'!$F$5:$F$200,"Brand page")&gt;0,"Y",IF(COUNTIFS('QC listings'!$A$5:$A$200,$M219,'QC listings'!$C$5:$C$200,Q$4)&gt;0,"?","–")))</f>
        <v/>
      </c>
      <c r="R219" s="12" t="str">
        <f aca="false">IF($M219="","",IF(COUNTIFS('QC listings'!$A$5:$A$200,$M219,'QC listings'!$C$5:$C$200,R$4,'QC listings'!$F$5:$F$200,"Listing page")+COUNTIFS('QC listings'!$A$5:$A$200,$M219,'QC listings'!$C$5:$C$200,R$4,'QC listings'!$F$5:$F$200,"Brand page")&gt;0,"Y",IF(COUNTIFS('QC listings'!$A$5:$A$200,$M219,'QC listings'!$C$5:$C$200,R$4)&gt;0,"?","–")))</f>
        <v/>
      </c>
      <c r="S219" s="12" t="str">
        <f aca="false">IF($M219="","",COUNTIF(O219:R219,"Y"))</f>
        <v/>
      </c>
      <c r="T219" s="23" t="str">
        <f aca="false">IF($M219="","",SUMPRODUCT(MAX(('QC listings'!$A$5:$A$200=$M219)*'QC listings'!$E$5:$E$200)))</f>
        <v/>
      </c>
      <c r="U219" s="12" t="str">
        <f aca="false">IF($M219="","",IF(T219&gt;=Scoring!$B$11,3,IF(T219&gt;=Scoring!$B$10,2,IF(T219&gt;=Scoring!$B$9,1,0))))</f>
        <v/>
      </c>
      <c r="V219" s="12" t="n">
        <f aca="false">IFERROR(INDEX(Scoring!$B$27:$B$56,MATCH($E219,Scoring!$A$27:$A$56,0)),0)</f>
        <v>0</v>
      </c>
      <c r="W219" s="24" t="n">
        <f aca="false">IF($G219="","",ROUND((Scoring!$B$5-$G219)/30.4375,1))</f>
        <v>4.1</v>
      </c>
      <c r="X219" s="12" t="n">
        <f aca="false">IF($F219="Expired",Scoring!$B$18,IF($G219="",Scoring!$B$17,IF(W219&lt;=Scoring!$B$12,Scoring!$B$13,IF(W219&lt;=Scoring!$B$14,Scoring!$B$15,Scoring!$B$16))))</f>
        <v>2</v>
      </c>
      <c r="Y219" s="15" t="str">
        <f aca="false">IF($M219="","",ROUND((S219*Scoring!$B$6+U219*Scoring!$B$7)*IFERROR(INDEX(Scoring!$B$22:$B$24,MATCH($N219,Scoring!$A$22:$A$24,0)),1)+V219*Scoring!$B$8+X219,2))</f>
        <v/>
      </c>
      <c r="Z219" s="12" t="str">
        <f aca="false">IF($M219="","",IF(SUMPRODUCT(($M$5:$M$249=$M219)*($G$5:$G$249&gt;$G219))&gt;0,0,IF(SUMPRODUCT(($M$5:$M$249=$M219)*($G$5:$G$249=$G219)*(ROW($M$5:$M$249)&lt;ROW($M219)))&gt;0,0,1)))</f>
        <v/>
      </c>
      <c r="AA219" s="12" t="str">
        <f aca="false">IF($Z219=1,RANK($AE219,$AE$5:$AE$249,0),"")</f>
        <v/>
      </c>
      <c r="AB219" s="7" t="s">
        <v>153</v>
      </c>
      <c r="AC219" s="6" t="s">
        <v>162</v>
      </c>
      <c r="AD219" s="6" t="s">
        <v>841</v>
      </c>
      <c r="AE219" s="25" t="str">
        <f aca="false">IF($Z219=1,$Y219+$T219/1000000000-ROW()/10000000,"")</f>
        <v/>
      </c>
    </row>
    <row r="220" customFormat="false" ht="23.85" hidden="false" customHeight="false" outlineLevel="0" collapsed="false">
      <c r="A220" s="7" t="s">
        <v>1197</v>
      </c>
      <c r="B220" s="6" t="s">
        <v>1198</v>
      </c>
      <c r="C220" s="6" t="s">
        <v>1199</v>
      </c>
      <c r="D220" s="7" t="s">
        <v>1193</v>
      </c>
      <c r="E220" s="7" t="s">
        <v>1194</v>
      </c>
      <c r="F220" s="12" t="s">
        <v>158</v>
      </c>
      <c r="G220" s="13" t="n">
        <v>46098</v>
      </c>
      <c r="H220" s="7" t="s">
        <v>1200</v>
      </c>
      <c r="I220" s="6" t="s">
        <v>149</v>
      </c>
      <c r="J220" s="7" t="s">
        <v>60</v>
      </c>
      <c r="K220" s="12"/>
      <c r="L220" s="10" t="s">
        <v>1201</v>
      </c>
      <c r="M220" s="7"/>
      <c r="N220" s="12"/>
      <c r="O220" s="12" t="str">
        <f aca="false">IF($M220="","",IF(COUNTIFS('QC listings'!$A$5:$A$200,$M220,'QC listings'!$C$5:$C$200,O$4,'QC listings'!$F$5:$F$200,"Listing page")+COUNTIFS('QC listings'!$A$5:$A$200,$M220,'QC listings'!$C$5:$C$200,O$4,'QC listings'!$F$5:$F$200,"Brand page")&gt;0,"Y",IF(COUNTIFS('QC listings'!$A$5:$A$200,$M220,'QC listings'!$C$5:$C$200,O$4)&gt;0,"?","–")))</f>
        <v/>
      </c>
      <c r="P220" s="12" t="str">
        <f aca="false">IF($M220="","",IF(COUNTIFS('QC listings'!$A$5:$A$200,$M220,'QC listings'!$C$5:$C$200,P$4,'QC listings'!$F$5:$F$200,"Listing page")+COUNTIFS('QC listings'!$A$5:$A$200,$M220,'QC listings'!$C$5:$C$200,P$4,'QC listings'!$F$5:$F$200,"Brand page")&gt;0,"Y",IF(COUNTIFS('QC listings'!$A$5:$A$200,$M220,'QC listings'!$C$5:$C$200,P$4)&gt;0,"?","–")))</f>
        <v/>
      </c>
      <c r="Q220" s="12" t="str">
        <f aca="false">IF($M220="","",IF(COUNTIFS('QC listings'!$A$5:$A$200,$M220,'QC listings'!$C$5:$C$200,Q$4,'QC listings'!$F$5:$F$200,"Listing page")+COUNTIFS('QC listings'!$A$5:$A$200,$M220,'QC listings'!$C$5:$C$200,Q$4,'QC listings'!$F$5:$F$200,"Brand page")&gt;0,"Y",IF(COUNTIFS('QC listings'!$A$5:$A$200,$M220,'QC listings'!$C$5:$C$200,Q$4)&gt;0,"?","–")))</f>
        <v/>
      </c>
      <c r="R220" s="12" t="str">
        <f aca="false">IF($M220="","",IF(COUNTIFS('QC listings'!$A$5:$A$200,$M220,'QC listings'!$C$5:$C$200,R$4,'QC listings'!$F$5:$F$200,"Listing page")+COUNTIFS('QC listings'!$A$5:$A$200,$M220,'QC listings'!$C$5:$C$200,R$4,'QC listings'!$F$5:$F$200,"Brand page")&gt;0,"Y",IF(COUNTIFS('QC listings'!$A$5:$A$200,$M220,'QC listings'!$C$5:$C$200,R$4)&gt;0,"?","–")))</f>
        <v/>
      </c>
      <c r="S220" s="12" t="str">
        <f aca="false">IF($M220="","",COUNTIF(O220:R220,"Y"))</f>
        <v/>
      </c>
      <c r="T220" s="23" t="str">
        <f aca="false">IF($M220="","",SUMPRODUCT(MAX(('QC listings'!$A$5:$A$200=$M220)*'QC listings'!$E$5:$E$200)))</f>
        <v/>
      </c>
      <c r="U220" s="12" t="str">
        <f aca="false">IF($M220="","",IF(T220&gt;=Scoring!$B$11,3,IF(T220&gt;=Scoring!$B$10,2,IF(T220&gt;=Scoring!$B$9,1,0))))</f>
        <v/>
      </c>
      <c r="V220" s="12" t="n">
        <f aca="false">IFERROR(INDEX(Scoring!$B$27:$B$56,MATCH($E220,Scoring!$A$27:$A$56,0)),0)</f>
        <v>0</v>
      </c>
      <c r="W220" s="24" t="n">
        <f aca="false">IF($G220="","",ROUND((Scoring!$B$5-$G220)/30.4375,1))</f>
        <v>6.5</v>
      </c>
      <c r="X220" s="12" t="n">
        <f aca="false">IF($F220="Expired",Scoring!$B$18,IF($G220="",Scoring!$B$17,IF(W220&lt;=Scoring!$B$12,Scoring!$B$13,IF(W220&lt;=Scoring!$B$14,Scoring!$B$15,Scoring!$B$16))))</f>
        <v>2</v>
      </c>
      <c r="Y220" s="15" t="str">
        <f aca="false">IF($M220="","",ROUND((S220*Scoring!$B$6+U220*Scoring!$B$7)*IFERROR(INDEX(Scoring!$B$22:$B$24,MATCH($N220,Scoring!$A$22:$A$24,0)),1)+V220*Scoring!$B$8+X220,2))</f>
        <v/>
      </c>
      <c r="Z220" s="12" t="str">
        <f aca="false">IF($M220="","",IF(SUMPRODUCT(($M$5:$M$249=$M220)*($G$5:$G$249&gt;$G220))&gt;0,0,IF(SUMPRODUCT(($M$5:$M$249=$M220)*($G$5:$G$249=$G220)*(ROW($M$5:$M$249)&lt;ROW($M220)))&gt;0,0,1)))</f>
        <v/>
      </c>
      <c r="AA220" s="12" t="str">
        <f aca="false">IF($Z220=1,RANK($AE220,$AE$5:$AE$249,0),"")</f>
        <v/>
      </c>
      <c r="AB220" s="7" t="s">
        <v>153</v>
      </c>
      <c r="AC220" s="6" t="s">
        <v>162</v>
      </c>
      <c r="AD220" s="6"/>
      <c r="AE220" s="25" t="str">
        <f aca="false">IF($Z220=1,$Y220+$T220/1000000000-ROW()/10000000,"")</f>
        <v/>
      </c>
    </row>
    <row r="221" customFormat="false" ht="23.85" hidden="false" customHeight="false" outlineLevel="0" collapsed="false">
      <c r="A221" s="7" t="s">
        <v>1202</v>
      </c>
      <c r="B221" s="6" t="s">
        <v>1203</v>
      </c>
      <c r="C221" s="6" t="s">
        <v>1204</v>
      </c>
      <c r="D221" s="7" t="s">
        <v>1193</v>
      </c>
      <c r="E221" s="7" t="s">
        <v>1194</v>
      </c>
      <c r="F221" s="12" t="s">
        <v>838</v>
      </c>
      <c r="G221" s="13" t="n">
        <v>46173</v>
      </c>
      <c r="H221" s="7" t="s">
        <v>1205</v>
      </c>
      <c r="I221" s="6" t="s">
        <v>149</v>
      </c>
      <c r="J221" s="7" t="s">
        <v>60</v>
      </c>
      <c r="K221" s="12"/>
      <c r="L221" s="10" t="s">
        <v>1206</v>
      </c>
      <c r="M221" s="7"/>
      <c r="N221" s="12"/>
      <c r="O221" s="12" t="str">
        <f aca="false">IF($M221="","",IF(COUNTIFS('QC listings'!$A$5:$A$200,$M221,'QC listings'!$C$5:$C$200,O$4,'QC listings'!$F$5:$F$200,"Listing page")+COUNTIFS('QC listings'!$A$5:$A$200,$M221,'QC listings'!$C$5:$C$200,O$4,'QC listings'!$F$5:$F$200,"Brand page")&gt;0,"Y",IF(COUNTIFS('QC listings'!$A$5:$A$200,$M221,'QC listings'!$C$5:$C$200,O$4)&gt;0,"?","–")))</f>
        <v/>
      </c>
      <c r="P221" s="12" t="str">
        <f aca="false">IF($M221="","",IF(COUNTIFS('QC listings'!$A$5:$A$200,$M221,'QC listings'!$C$5:$C$200,P$4,'QC listings'!$F$5:$F$200,"Listing page")+COUNTIFS('QC listings'!$A$5:$A$200,$M221,'QC listings'!$C$5:$C$200,P$4,'QC listings'!$F$5:$F$200,"Brand page")&gt;0,"Y",IF(COUNTIFS('QC listings'!$A$5:$A$200,$M221,'QC listings'!$C$5:$C$200,P$4)&gt;0,"?","–")))</f>
        <v/>
      </c>
      <c r="Q221" s="12" t="str">
        <f aca="false">IF($M221="","",IF(COUNTIFS('QC listings'!$A$5:$A$200,$M221,'QC listings'!$C$5:$C$200,Q$4,'QC listings'!$F$5:$F$200,"Listing page")+COUNTIFS('QC listings'!$A$5:$A$200,$M221,'QC listings'!$C$5:$C$200,Q$4,'QC listings'!$F$5:$F$200,"Brand page")&gt;0,"Y",IF(COUNTIFS('QC listings'!$A$5:$A$200,$M221,'QC listings'!$C$5:$C$200,Q$4)&gt;0,"?","–")))</f>
        <v/>
      </c>
      <c r="R221" s="12" t="str">
        <f aca="false">IF($M221="","",IF(COUNTIFS('QC listings'!$A$5:$A$200,$M221,'QC listings'!$C$5:$C$200,R$4,'QC listings'!$F$5:$F$200,"Listing page")+COUNTIFS('QC listings'!$A$5:$A$200,$M221,'QC listings'!$C$5:$C$200,R$4,'QC listings'!$F$5:$F$200,"Brand page")&gt;0,"Y",IF(COUNTIFS('QC listings'!$A$5:$A$200,$M221,'QC listings'!$C$5:$C$200,R$4)&gt;0,"?","–")))</f>
        <v/>
      </c>
      <c r="S221" s="12" t="str">
        <f aca="false">IF($M221="","",COUNTIF(O221:R221,"Y"))</f>
        <v/>
      </c>
      <c r="T221" s="23" t="str">
        <f aca="false">IF($M221="","",SUMPRODUCT(MAX(('QC listings'!$A$5:$A$200=$M221)*'QC listings'!$E$5:$E$200)))</f>
        <v/>
      </c>
      <c r="U221" s="12" t="str">
        <f aca="false">IF($M221="","",IF(T221&gt;=Scoring!$B$11,3,IF(T221&gt;=Scoring!$B$10,2,IF(T221&gt;=Scoring!$B$9,1,0))))</f>
        <v/>
      </c>
      <c r="V221" s="12" t="n">
        <f aca="false">IFERROR(INDEX(Scoring!$B$27:$B$56,MATCH($E221,Scoring!$A$27:$A$56,0)),0)</f>
        <v>0</v>
      </c>
      <c r="W221" s="24" t="n">
        <f aca="false">IF($G221="","",ROUND((Scoring!$B$5-$G221)/30.4375,1))</f>
        <v>4.1</v>
      </c>
      <c r="X221" s="12" t="n">
        <f aca="false">IF($F221="Expired",Scoring!$B$18,IF($G221="",Scoring!$B$17,IF(W221&lt;=Scoring!$B$12,Scoring!$B$13,IF(W221&lt;=Scoring!$B$14,Scoring!$B$15,Scoring!$B$16))))</f>
        <v>2</v>
      </c>
      <c r="Y221" s="15" t="str">
        <f aca="false">IF($M221="","",ROUND((S221*Scoring!$B$6+U221*Scoring!$B$7)*IFERROR(INDEX(Scoring!$B$22:$B$24,MATCH($N221,Scoring!$A$22:$A$24,0)),1)+V221*Scoring!$B$8+X221,2))</f>
        <v/>
      </c>
      <c r="Z221" s="12" t="str">
        <f aca="false">IF($M221="","",IF(SUMPRODUCT(($M$5:$M$249=$M221)*($G$5:$G$249&gt;$G221))&gt;0,0,IF(SUMPRODUCT(($M$5:$M$249=$M221)*($G$5:$G$249=$G221)*(ROW($M$5:$M$249)&lt;ROW($M221)))&gt;0,0,1)))</f>
        <v/>
      </c>
      <c r="AA221" s="12" t="str">
        <f aca="false">IF($Z221=1,RANK($AE221,$AE$5:$AE$249,0),"")</f>
        <v/>
      </c>
      <c r="AB221" s="7" t="s">
        <v>153</v>
      </c>
      <c r="AC221" s="6" t="s">
        <v>162</v>
      </c>
      <c r="AD221" s="6" t="s">
        <v>841</v>
      </c>
      <c r="AE221" s="25" t="str">
        <f aca="false">IF($Z221=1,$Y221+$T221/1000000000-ROW()/10000000,"")</f>
        <v/>
      </c>
    </row>
    <row r="222" customFormat="false" ht="23.85" hidden="false" customHeight="false" outlineLevel="0" collapsed="false">
      <c r="A222" s="7" t="s">
        <v>1207</v>
      </c>
      <c r="B222" s="6" t="s">
        <v>1208</v>
      </c>
      <c r="C222" s="6" t="s">
        <v>1209</v>
      </c>
      <c r="D222" s="7" t="s">
        <v>1193</v>
      </c>
      <c r="E222" s="7" t="s">
        <v>1194</v>
      </c>
      <c r="F222" s="12" t="s">
        <v>158</v>
      </c>
      <c r="G222" s="13" t="n">
        <v>45799</v>
      </c>
      <c r="H222" s="7" t="s">
        <v>1210</v>
      </c>
      <c r="I222" s="6" t="s">
        <v>149</v>
      </c>
      <c r="J222" s="7" t="s">
        <v>60</v>
      </c>
      <c r="K222" s="12"/>
      <c r="L222" s="10" t="s">
        <v>1211</v>
      </c>
      <c r="M222" s="7"/>
      <c r="N222" s="12"/>
      <c r="O222" s="12" t="str">
        <f aca="false">IF($M222="","",IF(COUNTIFS('QC listings'!$A$5:$A$200,$M222,'QC listings'!$C$5:$C$200,O$4,'QC listings'!$F$5:$F$200,"Listing page")+COUNTIFS('QC listings'!$A$5:$A$200,$M222,'QC listings'!$C$5:$C$200,O$4,'QC listings'!$F$5:$F$200,"Brand page")&gt;0,"Y",IF(COUNTIFS('QC listings'!$A$5:$A$200,$M222,'QC listings'!$C$5:$C$200,O$4)&gt;0,"?","–")))</f>
        <v/>
      </c>
      <c r="P222" s="12" t="str">
        <f aca="false">IF($M222="","",IF(COUNTIFS('QC listings'!$A$5:$A$200,$M222,'QC listings'!$C$5:$C$200,P$4,'QC listings'!$F$5:$F$200,"Listing page")+COUNTIFS('QC listings'!$A$5:$A$200,$M222,'QC listings'!$C$5:$C$200,P$4,'QC listings'!$F$5:$F$200,"Brand page")&gt;0,"Y",IF(COUNTIFS('QC listings'!$A$5:$A$200,$M222,'QC listings'!$C$5:$C$200,P$4)&gt;0,"?","–")))</f>
        <v/>
      </c>
      <c r="Q222" s="12" t="str">
        <f aca="false">IF($M222="","",IF(COUNTIFS('QC listings'!$A$5:$A$200,$M222,'QC listings'!$C$5:$C$200,Q$4,'QC listings'!$F$5:$F$200,"Listing page")+COUNTIFS('QC listings'!$A$5:$A$200,$M222,'QC listings'!$C$5:$C$200,Q$4,'QC listings'!$F$5:$F$200,"Brand page")&gt;0,"Y",IF(COUNTIFS('QC listings'!$A$5:$A$200,$M222,'QC listings'!$C$5:$C$200,Q$4)&gt;0,"?","–")))</f>
        <v/>
      </c>
      <c r="R222" s="12" t="str">
        <f aca="false">IF($M222="","",IF(COUNTIFS('QC listings'!$A$5:$A$200,$M222,'QC listings'!$C$5:$C$200,R$4,'QC listings'!$F$5:$F$200,"Listing page")+COUNTIFS('QC listings'!$A$5:$A$200,$M222,'QC listings'!$C$5:$C$200,R$4,'QC listings'!$F$5:$F$200,"Brand page")&gt;0,"Y",IF(COUNTIFS('QC listings'!$A$5:$A$200,$M222,'QC listings'!$C$5:$C$200,R$4)&gt;0,"?","–")))</f>
        <v/>
      </c>
      <c r="S222" s="12" t="str">
        <f aca="false">IF($M222="","",COUNTIF(O222:R222,"Y"))</f>
        <v/>
      </c>
      <c r="T222" s="23" t="str">
        <f aca="false">IF($M222="","",SUMPRODUCT(MAX(('QC listings'!$A$5:$A$200=$M222)*'QC listings'!$E$5:$E$200)))</f>
        <v/>
      </c>
      <c r="U222" s="12" t="str">
        <f aca="false">IF($M222="","",IF(T222&gt;=Scoring!$B$11,3,IF(T222&gt;=Scoring!$B$10,2,IF(T222&gt;=Scoring!$B$9,1,0))))</f>
        <v/>
      </c>
      <c r="V222" s="12" t="n">
        <f aca="false">IFERROR(INDEX(Scoring!$B$27:$B$56,MATCH($E222,Scoring!$A$27:$A$56,0)),0)</f>
        <v>0</v>
      </c>
      <c r="W222" s="24" t="n">
        <f aca="false">IF($G222="","",ROUND((Scoring!$B$5-$G222)/30.4375,1))</f>
        <v>16.4</v>
      </c>
      <c r="X222" s="12" t="n">
        <f aca="false">IF($F222="Expired",Scoring!$B$18,IF($G222="",Scoring!$B$17,IF(W222&lt;=Scoring!$B$12,Scoring!$B$13,IF(W222&lt;=Scoring!$B$14,Scoring!$B$15,Scoring!$B$16))))</f>
        <v>1</v>
      </c>
      <c r="Y222" s="15" t="str">
        <f aca="false">IF($M222="","",ROUND((S222*Scoring!$B$6+U222*Scoring!$B$7)*IFERROR(INDEX(Scoring!$B$22:$B$24,MATCH($N222,Scoring!$A$22:$A$24,0)),1)+V222*Scoring!$B$8+X222,2))</f>
        <v/>
      </c>
      <c r="Z222" s="12" t="str">
        <f aca="false">IF($M222="","",IF(SUMPRODUCT(($M$5:$M$249=$M222)*($G$5:$G$249&gt;$G222))&gt;0,0,IF(SUMPRODUCT(($M$5:$M$249=$M222)*($G$5:$G$249=$G222)*(ROW($M$5:$M$249)&lt;ROW($M222)))&gt;0,0,1)))</f>
        <v/>
      </c>
      <c r="AA222" s="12" t="str">
        <f aca="false">IF($Z222=1,RANK($AE222,$AE$5:$AE$249,0),"")</f>
        <v/>
      </c>
      <c r="AB222" s="7" t="s">
        <v>153</v>
      </c>
      <c r="AC222" s="6" t="s">
        <v>162</v>
      </c>
      <c r="AD222" s="6"/>
      <c r="AE222" s="25" t="str">
        <f aca="false">IF($Z222=1,$Y222+$T222/1000000000-ROW()/10000000,"")</f>
        <v/>
      </c>
    </row>
    <row r="223" customFormat="false" ht="23.85" hidden="false" customHeight="false" outlineLevel="0" collapsed="false">
      <c r="A223" s="7" t="s">
        <v>1212</v>
      </c>
      <c r="B223" s="6" t="s">
        <v>1213</v>
      </c>
      <c r="C223" s="6" t="s">
        <v>1214</v>
      </c>
      <c r="D223" s="7" t="s">
        <v>1193</v>
      </c>
      <c r="E223" s="7" t="s">
        <v>1194</v>
      </c>
      <c r="F223" s="12" t="s">
        <v>158</v>
      </c>
      <c r="G223" s="13" t="n">
        <v>46183</v>
      </c>
      <c r="H223" s="7" t="s">
        <v>1215</v>
      </c>
      <c r="I223" s="6" t="s">
        <v>149</v>
      </c>
      <c r="J223" s="7" t="s">
        <v>60</v>
      </c>
      <c r="K223" s="12"/>
      <c r="L223" s="10" t="s">
        <v>1216</v>
      </c>
      <c r="M223" s="7"/>
      <c r="N223" s="12"/>
      <c r="O223" s="12" t="str">
        <f aca="false">IF($M223="","",IF(COUNTIFS('QC listings'!$A$5:$A$200,$M223,'QC listings'!$C$5:$C$200,O$4,'QC listings'!$F$5:$F$200,"Listing page")+COUNTIFS('QC listings'!$A$5:$A$200,$M223,'QC listings'!$C$5:$C$200,O$4,'QC listings'!$F$5:$F$200,"Brand page")&gt;0,"Y",IF(COUNTIFS('QC listings'!$A$5:$A$200,$M223,'QC listings'!$C$5:$C$200,O$4)&gt;0,"?","–")))</f>
        <v/>
      </c>
      <c r="P223" s="12" t="str">
        <f aca="false">IF($M223="","",IF(COUNTIFS('QC listings'!$A$5:$A$200,$M223,'QC listings'!$C$5:$C$200,P$4,'QC listings'!$F$5:$F$200,"Listing page")+COUNTIFS('QC listings'!$A$5:$A$200,$M223,'QC listings'!$C$5:$C$200,P$4,'QC listings'!$F$5:$F$200,"Brand page")&gt;0,"Y",IF(COUNTIFS('QC listings'!$A$5:$A$200,$M223,'QC listings'!$C$5:$C$200,P$4)&gt;0,"?","–")))</f>
        <v/>
      </c>
      <c r="Q223" s="12" t="str">
        <f aca="false">IF($M223="","",IF(COUNTIFS('QC listings'!$A$5:$A$200,$M223,'QC listings'!$C$5:$C$200,Q$4,'QC listings'!$F$5:$F$200,"Listing page")+COUNTIFS('QC listings'!$A$5:$A$200,$M223,'QC listings'!$C$5:$C$200,Q$4,'QC listings'!$F$5:$F$200,"Brand page")&gt;0,"Y",IF(COUNTIFS('QC listings'!$A$5:$A$200,$M223,'QC listings'!$C$5:$C$200,Q$4)&gt;0,"?","–")))</f>
        <v/>
      </c>
      <c r="R223" s="12" t="str">
        <f aca="false">IF($M223="","",IF(COUNTIFS('QC listings'!$A$5:$A$200,$M223,'QC listings'!$C$5:$C$200,R$4,'QC listings'!$F$5:$F$200,"Listing page")+COUNTIFS('QC listings'!$A$5:$A$200,$M223,'QC listings'!$C$5:$C$200,R$4,'QC listings'!$F$5:$F$200,"Brand page")&gt;0,"Y",IF(COUNTIFS('QC listings'!$A$5:$A$200,$M223,'QC listings'!$C$5:$C$200,R$4)&gt;0,"?","–")))</f>
        <v/>
      </c>
      <c r="S223" s="12" t="str">
        <f aca="false">IF($M223="","",COUNTIF(O223:R223,"Y"))</f>
        <v/>
      </c>
      <c r="T223" s="23" t="str">
        <f aca="false">IF($M223="","",SUMPRODUCT(MAX(('QC listings'!$A$5:$A$200=$M223)*'QC listings'!$E$5:$E$200)))</f>
        <v/>
      </c>
      <c r="U223" s="12" t="str">
        <f aca="false">IF($M223="","",IF(T223&gt;=Scoring!$B$11,3,IF(T223&gt;=Scoring!$B$10,2,IF(T223&gt;=Scoring!$B$9,1,0))))</f>
        <v/>
      </c>
      <c r="V223" s="12" t="n">
        <f aca="false">IFERROR(INDEX(Scoring!$B$27:$B$56,MATCH($E223,Scoring!$A$27:$A$56,0)),0)</f>
        <v>0</v>
      </c>
      <c r="W223" s="24" t="n">
        <f aca="false">IF($G223="","",ROUND((Scoring!$B$5-$G223)/30.4375,1))</f>
        <v>3.7</v>
      </c>
      <c r="X223" s="12" t="n">
        <f aca="false">IF($F223="Expired",Scoring!$B$18,IF($G223="",Scoring!$B$17,IF(W223&lt;=Scoring!$B$12,Scoring!$B$13,IF(W223&lt;=Scoring!$B$14,Scoring!$B$15,Scoring!$B$16))))</f>
        <v>2</v>
      </c>
      <c r="Y223" s="15" t="str">
        <f aca="false">IF($M223="","",ROUND((S223*Scoring!$B$6+U223*Scoring!$B$7)*IFERROR(INDEX(Scoring!$B$22:$B$24,MATCH($N223,Scoring!$A$22:$A$24,0)),1)+V223*Scoring!$B$8+X223,2))</f>
        <v/>
      </c>
      <c r="Z223" s="12" t="str">
        <f aca="false">IF($M223="","",IF(SUMPRODUCT(($M$5:$M$249=$M223)*($G$5:$G$249&gt;$G223))&gt;0,0,IF(SUMPRODUCT(($M$5:$M$249=$M223)*($G$5:$G$249=$G223)*(ROW($M$5:$M$249)&lt;ROW($M223)))&gt;0,0,1)))</f>
        <v/>
      </c>
      <c r="AA223" s="12" t="str">
        <f aca="false">IF($Z223=1,RANK($AE223,$AE$5:$AE$249,0),"")</f>
        <v/>
      </c>
      <c r="AB223" s="7" t="s">
        <v>153</v>
      </c>
      <c r="AC223" s="6" t="s">
        <v>162</v>
      </c>
      <c r="AD223" s="6"/>
      <c r="AE223" s="25" t="str">
        <f aca="false">IF($Z223=1,$Y223+$T223/1000000000-ROW()/10000000,"")</f>
        <v/>
      </c>
    </row>
    <row r="224" customFormat="false" ht="23.85" hidden="false" customHeight="false" outlineLevel="0" collapsed="false">
      <c r="A224" s="7" t="s">
        <v>1217</v>
      </c>
      <c r="B224" s="6" t="s">
        <v>674</v>
      </c>
      <c r="C224" s="6" t="s">
        <v>1218</v>
      </c>
      <c r="D224" s="7" t="s">
        <v>1193</v>
      </c>
      <c r="E224" s="7" t="s">
        <v>1194</v>
      </c>
      <c r="F224" s="12" t="s">
        <v>158</v>
      </c>
      <c r="G224" s="13" t="n">
        <v>45290</v>
      </c>
      <c r="H224" s="7" t="s">
        <v>1219</v>
      </c>
      <c r="I224" s="6" t="s">
        <v>149</v>
      </c>
      <c r="J224" s="7" t="s">
        <v>60</v>
      </c>
      <c r="K224" s="12"/>
      <c r="L224" s="10" t="s">
        <v>1220</v>
      </c>
      <c r="M224" s="7"/>
      <c r="N224" s="12"/>
      <c r="O224" s="12" t="str">
        <f aca="false">IF($M224="","",IF(COUNTIFS('QC listings'!$A$5:$A$200,$M224,'QC listings'!$C$5:$C$200,O$4,'QC listings'!$F$5:$F$200,"Listing page")+COUNTIFS('QC listings'!$A$5:$A$200,$M224,'QC listings'!$C$5:$C$200,O$4,'QC listings'!$F$5:$F$200,"Brand page")&gt;0,"Y",IF(COUNTIFS('QC listings'!$A$5:$A$200,$M224,'QC listings'!$C$5:$C$200,O$4)&gt;0,"?","–")))</f>
        <v/>
      </c>
      <c r="P224" s="12" t="str">
        <f aca="false">IF($M224="","",IF(COUNTIFS('QC listings'!$A$5:$A$200,$M224,'QC listings'!$C$5:$C$200,P$4,'QC listings'!$F$5:$F$200,"Listing page")+COUNTIFS('QC listings'!$A$5:$A$200,$M224,'QC listings'!$C$5:$C$200,P$4,'QC listings'!$F$5:$F$200,"Brand page")&gt;0,"Y",IF(COUNTIFS('QC listings'!$A$5:$A$200,$M224,'QC listings'!$C$5:$C$200,P$4)&gt;0,"?","–")))</f>
        <v/>
      </c>
      <c r="Q224" s="12" t="str">
        <f aca="false">IF($M224="","",IF(COUNTIFS('QC listings'!$A$5:$A$200,$M224,'QC listings'!$C$5:$C$200,Q$4,'QC listings'!$F$5:$F$200,"Listing page")+COUNTIFS('QC listings'!$A$5:$A$200,$M224,'QC listings'!$C$5:$C$200,Q$4,'QC listings'!$F$5:$F$200,"Brand page")&gt;0,"Y",IF(COUNTIFS('QC listings'!$A$5:$A$200,$M224,'QC listings'!$C$5:$C$200,Q$4)&gt;0,"?","–")))</f>
        <v/>
      </c>
      <c r="R224" s="12" t="str">
        <f aca="false">IF($M224="","",IF(COUNTIFS('QC listings'!$A$5:$A$200,$M224,'QC listings'!$C$5:$C$200,R$4,'QC listings'!$F$5:$F$200,"Listing page")+COUNTIFS('QC listings'!$A$5:$A$200,$M224,'QC listings'!$C$5:$C$200,R$4,'QC listings'!$F$5:$F$200,"Brand page")&gt;0,"Y",IF(COUNTIFS('QC listings'!$A$5:$A$200,$M224,'QC listings'!$C$5:$C$200,R$4)&gt;0,"?","–")))</f>
        <v/>
      </c>
      <c r="S224" s="12" t="str">
        <f aca="false">IF($M224="","",COUNTIF(O224:R224,"Y"))</f>
        <v/>
      </c>
      <c r="T224" s="23" t="str">
        <f aca="false">IF($M224="","",SUMPRODUCT(MAX(('QC listings'!$A$5:$A$200=$M224)*'QC listings'!$E$5:$E$200)))</f>
        <v/>
      </c>
      <c r="U224" s="12" t="str">
        <f aca="false">IF($M224="","",IF(T224&gt;=Scoring!$B$11,3,IF(T224&gt;=Scoring!$B$10,2,IF(T224&gt;=Scoring!$B$9,1,0))))</f>
        <v/>
      </c>
      <c r="V224" s="12" t="n">
        <f aca="false">IFERROR(INDEX(Scoring!$B$27:$B$56,MATCH($E224,Scoring!$A$27:$A$56,0)),0)</f>
        <v>0</v>
      </c>
      <c r="W224" s="24" t="n">
        <f aca="false">IF($G224="","",ROUND((Scoring!$B$5-$G224)/30.4375,1))</f>
        <v>33.1</v>
      </c>
      <c r="X224" s="12" t="n">
        <f aca="false">IF($F224="Expired",Scoring!$B$18,IF($G224="",Scoring!$B$17,IF(W224&lt;=Scoring!$B$12,Scoring!$B$13,IF(W224&lt;=Scoring!$B$14,Scoring!$B$15,Scoring!$B$16))))</f>
        <v>0</v>
      </c>
      <c r="Y224" s="15" t="str">
        <f aca="false">IF($M224="","",ROUND((S224*Scoring!$B$6+U224*Scoring!$B$7)*IFERROR(INDEX(Scoring!$B$22:$B$24,MATCH($N224,Scoring!$A$22:$A$24,0)),1)+V224*Scoring!$B$8+X224,2))</f>
        <v/>
      </c>
      <c r="Z224" s="12" t="str">
        <f aca="false">IF($M224="","",IF(SUMPRODUCT(($M$5:$M$249=$M224)*($G$5:$G$249&gt;$G224))&gt;0,0,IF(SUMPRODUCT(($M$5:$M$249=$M224)*($G$5:$G$249=$G224)*(ROW($M$5:$M$249)&lt;ROW($M224)))&gt;0,0,1)))</f>
        <v/>
      </c>
      <c r="AA224" s="12" t="str">
        <f aca="false">IF($Z224=1,RANK($AE224,$AE$5:$AE$249,0),"")</f>
        <v/>
      </c>
      <c r="AB224" s="7" t="s">
        <v>153</v>
      </c>
      <c r="AC224" s="6" t="s">
        <v>162</v>
      </c>
      <c r="AD224" s="6"/>
      <c r="AE224" s="25" t="str">
        <f aca="false">IF($Z224=1,$Y224+$T224/1000000000-ROW()/10000000,"")</f>
        <v/>
      </c>
    </row>
    <row r="225" customFormat="false" ht="23.85" hidden="false" customHeight="false" outlineLevel="0" collapsed="false">
      <c r="A225" s="7" t="s">
        <v>1221</v>
      </c>
      <c r="B225" s="6" t="s">
        <v>674</v>
      </c>
      <c r="C225" s="6" t="s">
        <v>1222</v>
      </c>
      <c r="D225" s="7" t="s">
        <v>1193</v>
      </c>
      <c r="E225" s="7" t="s">
        <v>1194</v>
      </c>
      <c r="F225" s="12" t="s">
        <v>158</v>
      </c>
      <c r="G225" s="13" t="n">
        <v>46156</v>
      </c>
      <c r="H225" s="7" t="s">
        <v>1223</v>
      </c>
      <c r="I225" s="6" t="s">
        <v>149</v>
      </c>
      <c r="J225" s="7" t="s">
        <v>60</v>
      </c>
      <c r="K225" s="12"/>
      <c r="L225" s="10" t="s">
        <v>1224</v>
      </c>
      <c r="M225" s="7"/>
      <c r="N225" s="12"/>
      <c r="O225" s="12" t="str">
        <f aca="false">IF($M225="","",IF(COUNTIFS('QC listings'!$A$5:$A$200,$M225,'QC listings'!$C$5:$C$200,O$4,'QC listings'!$F$5:$F$200,"Listing page")+COUNTIFS('QC listings'!$A$5:$A$200,$M225,'QC listings'!$C$5:$C$200,O$4,'QC listings'!$F$5:$F$200,"Brand page")&gt;0,"Y",IF(COUNTIFS('QC listings'!$A$5:$A$200,$M225,'QC listings'!$C$5:$C$200,O$4)&gt;0,"?","–")))</f>
        <v/>
      </c>
      <c r="P225" s="12" t="str">
        <f aca="false">IF($M225="","",IF(COUNTIFS('QC listings'!$A$5:$A$200,$M225,'QC listings'!$C$5:$C$200,P$4,'QC listings'!$F$5:$F$200,"Listing page")+COUNTIFS('QC listings'!$A$5:$A$200,$M225,'QC listings'!$C$5:$C$200,P$4,'QC listings'!$F$5:$F$200,"Brand page")&gt;0,"Y",IF(COUNTIFS('QC listings'!$A$5:$A$200,$M225,'QC listings'!$C$5:$C$200,P$4)&gt;0,"?","–")))</f>
        <v/>
      </c>
      <c r="Q225" s="12" t="str">
        <f aca="false">IF($M225="","",IF(COUNTIFS('QC listings'!$A$5:$A$200,$M225,'QC listings'!$C$5:$C$200,Q$4,'QC listings'!$F$5:$F$200,"Listing page")+COUNTIFS('QC listings'!$A$5:$A$200,$M225,'QC listings'!$C$5:$C$200,Q$4,'QC listings'!$F$5:$F$200,"Brand page")&gt;0,"Y",IF(COUNTIFS('QC listings'!$A$5:$A$200,$M225,'QC listings'!$C$5:$C$200,Q$4)&gt;0,"?","–")))</f>
        <v/>
      </c>
      <c r="R225" s="12" t="str">
        <f aca="false">IF($M225="","",IF(COUNTIFS('QC listings'!$A$5:$A$200,$M225,'QC listings'!$C$5:$C$200,R$4,'QC listings'!$F$5:$F$200,"Listing page")+COUNTIFS('QC listings'!$A$5:$A$200,$M225,'QC listings'!$C$5:$C$200,R$4,'QC listings'!$F$5:$F$200,"Brand page")&gt;0,"Y",IF(COUNTIFS('QC listings'!$A$5:$A$200,$M225,'QC listings'!$C$5:$C$200,R$4)&gt;0,"?","–")))</f>
        <v/>
      </c>
      <c r="S225" s="12" t="str">
        <f aca="false">IF($M225="","",COUNTIF(O225:R225,"Y"))</f>
        <v/>
      </c>
      <c r="T225" s="23" t="str">
        <f aca="false">IF($M225="","",SUMPRODUCT(MAX(('QC listings'!$A$5:$A$200=$M225)*'QC listings'!$E$5:$E$200)))</f>
        <v/>
      </c>
      <c r="U225" s="12" t="str">
        <f aca="false">IF($M225="","",IF(T225&gt;=Scoring!$B$11,3,IF(T225&gt;=Scoring!$B$10,2,IF(T225&gt;=Scoring!$B$9,1,0))))</f>
        <v/>
      </c>
      <c r="V225" s="12" t="n">
        <f aca="false">IFERROR(INDEX(Scoring!$B$27:$B$56,MATCH($E225,Scoring!$A$27:$A$56,0)),0)</f>
        <v>0</v>
      </c>
      <c r="W225" s="24" t="n">
        <f aca="false">IF($G225="","",ROUND((Scoring!$B$5-$G225)/30.4375,1))</f>
        <v>4.6</v>
      </c>
      <c r="X225" s="12" t="n">
        <f aca="false">IF($F225="Expired",Scoring!$B$18,IF($G225="",Scoring!$B$17,IF(W225&lt;=Scoring!$B$12,Scoring!$B$13,IF(W225&lt;=Scoring!$B$14,Scoring!$B$15,Scoring!$B$16))))</f>
        <v>2</v>
      </c>
      <c r="Y225" s="15" t="str">
        <f aca="false">IF($M225="","",ROUND((S225*Scoring!$B$6+U225*Scoring!$B$7)*IFERROR(INDEX(Scoring!$B$22:$B$24,MATCH($N225,Scoring!$A$22:$A$24,0)),1)+V225*Scoring!$B$8+X225,2))</f>
        <v/>
      </c>
      <c r="Z225" s="12" t="str">
        <f aca="false">IF($M225="","",IF(SUMPRODUCT(($M$5:$M$249=$M225)*($G$5:$G$249&gt;$G225))&gt;0,0,IF(SUMPRODUCT(($M$5:$M$249=$M225)*($G$5:$G$249=$G225)*(ROW($M$5:$M$249)&lt;ROW($M225)))&gt;0,0,1)))</f>
        <v/>
      </c>
      <c r="AA225" s="12" t="str">
        <f aca="false">IF($Z225=1,RANK($AE225,$AE$5:$AE$249,0),"")</f>
        <v/>
      </c>
      <c r="AB225" s="7" t="s">
        <v>153</v>
      </c>
      <c r="AC225" s="6" t="s">
        <v>162</v>
      </c>
      <c r="AD225" s="6"/>
      <c r="AE225" s="25" t="str">
        <f aca="false">IF($Z225=1,$Y225+$T225/1000000000-ROW()/10000000,"")</f>
        <v/>
      </c>
    </row>
    <row r="226" customFormat="false" ht="23.85" hidden="false" customHeight="false" outlineLevel="0" collapsed="false">
      <c r="A226" s="7" t="s">
        <v>1225</v>
      </c>
      <c r="B226" s="6" t="s">
        <v>930</v>
      </c>
      <c r="C226" s="6" t="s">
        <v>1226</v>
      </c>
      <c r="D226" s="7" t="s">
        <v>1193</v>
      </c>
      <c r="E226" s="7" t="s">
        <v>1194</v>
      </c>
      <c r="F226" s="12" t="s">
        <v>158</v>
      </c>
      <c r="G226" s="13" t="n">
        <v>45652</v>
      </c>
      <c r="H226" s="7" t="s">
        <v>1227</v>
      </c>
      <c r="I226" s="6" t="s">
        <v>149</v>
      </c>
      <c r="J226" s="7" t="s">
        <v>60</v>
      </c>
      <c r="K226" s="12"/>
      <c r="L226" s="10" t="s">
        <v>1228</v>
      </c>
      <c r="M226" s="7"/>
      <c r="N226" s="12"/>
      <c r="O226" s="12" t="str">
        <f aca="false">IF($M226="","",IF(COUNTIFS('QC listings'!$A$5:$A$200,$M226,'QC listings'!$C$5:$C$200,O$4,'QC listings'!$F$5:$F$200,"Listing page")+COUNTIFS('QC listings'!$A$5:$A$200,$M226,'QC listings'!$C$5:$C$200,O$4,'QC listings'!$F$5:$F$200,"Brand page")&gt;0,"Y",IF(COUNTIFS('QC listings'!$A$5:$A$200,$M226,'QC listings'!$C$5:$C$200,O$4)&gt;0,"?","–")))</f>
        <v/>
      </c>
      <c r="P226" s="12" t="str">
        <f aca="false">IF($M226="","",IF(COUNTIFS('QC listings'!$A$5:$A$200,$M226,'QC listings'!$C$5:$C$200,P$4,'QC listings'!$F$5:$F$200,"Listing page")+COUNTIFS('QC listings'!$A$5:$A$200,$M226,'QC listings'!$C$5:$C$200,P$4,'QC listings'!$F$5:$F$200,"Brand page")&gt;0,"Y",IF(COUNTIFS('QC listings'!$A$5:$A$200,$M226,'QC listings'!$C$5:$C$200,P$4)&gt;0,"?","–")))</f>
        <v/>
      </c>
      <c r="Q226" s="12" t="str">
        <f aca="false">IF($M226="","",IF(COUNTIFS('QC listings'!$A$5:$A$200,$M226,'QC listings'!$C$5:$C$200,Q$4,'QC listings'!$F$5:$F$200,"Listing page")+COUNTIFS('QC listings'!$A$5:$A$200,$M226,'QC listings'!$C$5:$C$200,Q$4,'QC listings'!$F$5:$F$200,"Brand page")&gt;0,"Y",IF(COUNTIFS('QC listings'!$A$5:$A$200,$M226,'QC listings'!$C$5:$C$200,Q$4)&gt;0,"?","–")))</f>
        <v/>
      </c>
      <c r="R226" s="12" t="str">
        <f aca="false">IF($M226="","",IF(COUNTIFS('QC listings'!$A$5:$A$200,$M226,'QC listings'!$C$5:$C$200,R$4,'QC listings'!$F$5:$F$200,"Listing page")+COUNTIFS('QC listings'!$A$5:$A$200,$M226,'QC listings'!$C$5:$C$200,R$4,'QC listings'!$F$5:$F$200,"Brand page")&gt;0,"Y",IF(COUNTIFS('QC listings'!$A$5:$A$200,$M226,'QC listings'!$C$5:$C$200,R$4)&gt;0,"?","–")))</f>
        <v/>
      </c>
      <c r="S226" s="12" t="str">
        <f aca="false">IF($M226="","",COUNTIF(O226:R226,"Y"))</f>
        <v/>
      </c>
      <c r="T226" s="23" t="str">
        <f aca="false">IF($M226="","",SUMPRODUCT(MAX(('QC listings'!$A$5:$A$200=$M226)*'QC listings'!$E$5:$E$200)))</f>
        <v/>
      </c>
      <c r="U226" s="12" t="str">
        <f aca="false">IF($M226="","",IF(T226&gt;=Scoring!$B$11,3,IF(T226&gt;=Scoring!$B$10,2,IF(T226&gt;=Scoring!$B$9,1,0))))</f>
        <v/>
      </c>
      <c r="V226" s="12" t="n">
        <f aca="false">IFERROR(INDEX(Scoring!$B$27:$B$56,MATCH($E226,Scoring!$A$27:$A$56,0)),0)</f>
        <v>0</v>
      </c>
      <c r="W226" s="24" t="n">
        <f aca="false">IF($G226="","",ROUND((Scoring!$B$5-$G226)/30.4375,1))</f>
        <v>21.2</v>
      </c>
      <c r="X226" s="12" t="n">
        <f aca="false">IF($F226="Expired",Scoring!$B$18,IF($G226="",Scoring!$B$17,IF(W226&lt;=Scoring!$B$12,Scoring!$B$13,IF(W226&lt;=Scoring!$B$14,Scoring!$B$15,Scoring!$B$16))))</f>
        <v>1</v>
      </c>
      <c r="Y226" s="15" t="str">
        <f aca="false">IF($M226="","",ROUND((S226*Scoring!$B$6+U226*Scoring!$B$7)*IFERROR(INDEX(Scoring!$B$22:$B$24,MATCH($N226,Scoring!$A$22:$A$24,0)),1)+V226*Scoring!$B$8+X226,2))</f>
        <v/>
      </c>
      <c r="Z226" s="12" t="str">
        <f aca="false">IF($M226="","",IF(SUMPRODUCT(($M$5:$M$249=$M226)*($G$5:$G$249&gt;$G226))&gt;0,0,IF(SUMPRODUCT(($M$5:$M$249=$M226)*($G$5:$G$249=$G226)*(ROW($M$5:$M$249)&lt;ROW($M226)))&gt;0,0,1)))</f>
        <v/>
      </c>
      <c r="AA226" s="12" t="str">
        <f aca="false">IF($Z226=1,RANK($AE226,$AE$5:$AE$249,0),"")</f>
        <v/>
      </c>
      <c r="AB226" s="7" t="s">
        <v>153</v>
      </c>
      <c r="AC226" s="6" t="s">
        <v>162</v>
      </c>
      <c r="AD226" s="6"/>
      <c r="AE226" s="25" t="str">
        <f aca="false">IF($Z226=1,$Y226+$T226/1000000000-ROW()/10000000,"")</f>
        <v/>
      </c>
    </row>
    <row r="227" customFormat="false" ht="23.85" hidden="false" customHeight="false" outlineLevel="0" collapsed="false">
      <c r="A227" s="7" t="s">
        <v>1229</v>
      </c>
      <c r="B227" s="6" t="s">
        <v>1230</v>
      </c>
      <c r="C227" s="6" t="s">
        <v>1231</v>
      </c>
      <c r="D227" s="7" t="s">
        <v>1193</v>
      </c>
      <c r="E227" s="7" t="s">
        <v>1194</v>
      </c>
      <c r="F227" s="12" t="s">
        <v>147</v>
      </c>
      <c r="G227" s="13" t="n">
        <v>45681</v>
      </c>
      <c r="H227" s="7" t="s">
        <v>1232</v>
      </c>
      <c r="I227" s="6" t="s">
        <v>149</v>
      </c>
      <c r="J227" s="7" t="s">
        <v>60</v>
      </c>
      <c r="K227" s="12"/>
      <c r="L227" s="10" t="s">
        <v>1233</v>
      </c>
      <c r="M227" s="7"/>
      <c r="N227" s="12"/>
      <c r="O227" s="12" t="str">
        <f aca="false">IF($M227="","",IF(COUNTIFS('QC listings'!$A$5:$A$200,$M227,'QC listings'!$C$5:$C$200,O$4,'QC listings'!$F$5:$F$200,"Listing page")+COUNTIFS('QC listings'!$A$5:$A$200,$M227,'QC listings'!$C$5:$C$200,O$4,'QC listings'!$F$5:$F$200,"Brand page")&gt;0,"Y",IF(COUNTIFS('QC listings'!$A$5:$A$200,$M227,'QC listings'!$C$5:$C$200,O$4)&gt;0,"?","–")))</f>
        <v/>
      </c>
      <c r="P227" s="12" t="str">
        <f aca="false">IF($M227="","",IF(COUNTIFS('QC listings'!$A$5:$A$200,$M227,'QC listings'!$C$5:$C$200,P$4,'QC listings'!$F$5:$F$200,"Listing page")+COUNTIFS('QC listings'!$A$5:$A$200,$M227,'QC listings'!$C$5:$C$200,P$4,'QC listings'!$F$5:$F$200,"Brand page")&gt;0,"Y",IF(COUNTIFS('QC listings'!$A$5:$A$200,$M227,'QC listings'!$C$5:$C$200,P$4)&gt;0,"?","–")))</f>
        <v/>
      </c>
      <c r="Q227" s="12" t="str">
        <f aca="false">IF($M227="","",IF(COUNTIFS('QC listings'!$A$5:$A$200,$M227,'QC listings'!$C$5:$C$200,Q$4,'QC listings'!$F$5:$F$200,"Listing page")+COUNTIFS('QC listings'!$A$5:$A$200,$M227,'QC listings'!$C$5:$C$200,Q$4,'QC listings'!$F$5:$F$200,"Brand page")&gt;0,"Y",IF(COUNTIFS('QC listings'!$A$5:$A$200,$M227,'QC listings'!$C$5:$C$200,Q$4)&gt;0,"?","–")))</f>
        <v/>
      </c>
      <c r="R227" s="12" t="str">
        <f aca="false">IF($M227="","",IF(COUNTIFS('QC listings'!$A$5:$A$200,$M227,'QC listings'!$C$5:$C$200,R$4,'QC listings'!$F$5:$F$200,"Listing page")+COUNTIFS('QC listings'!$A$5:$A$200,$M227,'QC listings'!$C$5:$C$200,R$4,'QC listings'!$F$5:$F$200,"Brand page")&gt;0,"Y",IF(COUNTIFS('QC listings'!$A$5:$A$200,$M227,'QC listings'!$C$5:$C$200,R$4)&gt;0,"?","–")))</f>
        <v/>
      </c>
      <c r="S227" s="12" t="str">
        <f aca="false">IF($M227="","",COUNTIF(O227:R227,"Y"))</f>
        <v/>
      </c>
      <c r="T227" s="23" t="str">
        <f aca="false">IF($M227="","",SUMPRODUCT(MAX(('QC listings'!$A$5:$A$200=$M227)*'QC listings'!$E$5:$E$200)))</f>
        <v/>
      </c>
      <c r="U227" s="12" t="str">
        <f aca="false">IF($M227="","",IF(T227&gt;=Scoring!$B$11,3,IF(T227&gt;=Scoring!$B$10,2,IF(T227&gt;=Scoring!$B$9,1,0))))</f>
        <v/>
      </c>
      <c r="V227" s="12" t="n">
        <f aca="false">IFERROR(INDEX(Scoring!$B$27:$B$56,MATCH($E227,Scoring!$A$27:$A$56,0)),0)</f>
        <v>0</v>
      </c>
      <c r="W227" s="24" t="n">
        <f aca="false">IF($G227="","",ROUND((Scoring!$B$5-$G227)/30.4375,1))</f>
        <v>20.2</v>
      </c>
      <c r="X227" s="12" t="n">
        <f aca="false">IF($F227="Expired",Scoring!$B$18,IF($G227="",Scoring!$B$17,IF(W227&lt;=Scoring!$B$12,Scoring!$B$13,IF(W227&lt;=Scoring!$B$14,Scoring!$B$15,Scoring!$B$16))))</f>
        <v>1</v>
      </c>
      <c r="Y227" s="15" t="str">
        <f aca="false">IF($M227="","",ROUND((S227*Scoring!$B$6+U227*Scoring!$B$7)*IFERROR(INDEX(Scoring!$B$22:$B$24,MATCH($N227,Scoring!$A$22:$A$24,0)),1)+V227*Scoring!$B$8+X227,2))</f>
        <v/>
      </c>
      <c r="Z227" s="12" t="str">
        <f aca="false">IF($M227="","",IF(SUMPRODUCT(($M$5:$M$249=$M227)*($G$5:$G$249&gt;$G227))&gt;0,0,IF(SUMPRODUCT(($M$5:$M$249=$M227)*($G$5:$G$249=$G227)*(ROW($M$5:$M$249)&lt;ROW($M227)))&gt;0,0,1)))</f>
        <v/>
      </c>
      <c r="AA227" s="12" t="str">
        <f aca="false">IF($Z227=1,RANK($AE227,$AE$5:$AE$249,0),"")</f>
        <v/>
      </c>
      <c r="AB227" s="7" t="s">
        <v>153</v>
      </c>
      <c r="AC227" s="6" t="s">
        <v>154</v>
      </c>
      <c r="AD227" s="6"/>
      <c r="AE227" s="25" t="str">
        <f aca="false">IF($Z227=1,$Y227+$T227/1000000000-ROW()/10000000,"")</f>
        <v/>
      </c>
    </row>
    <row r="228" customFormat="false" ht="23.85" hidden="false" customHeight="false" outlineLevel="0" collapsed="false">
      <c r="A228" s="7" t="s">
        <v>1234</v>
      </c>
      <c r="B228" s="6" t="s">
        <v>1235</v>
      </c>
      <c r="C228" s="6" t="s">
        <v>1236</v>
      </c>
      <c r="D228" s="7" t="s">
        <v>1193</v>
      </c>
      <c r="E228" s="7" t="s">
        <v>1237</v>
      </c>
      <c r="F228" s="12" t="s">
        <v>147</v>
      </c>
      <c r="G228" s="13" t="n">
        <v>45835</v>
      </c>
      <c r="H228" s="7" t="s">
        <v>1238</v>
      </c>
      <c r="I228" s="6" t="s">
        <v>149</v>
      </c>
      <c r="J228" s="7" t="s">
        <v>60</v>
      </c>
      <c r="K228" s="12"/>
      <c r="L228" s="10" t="s">
        <v>1239</v>
      </c>
      <c r="M228" s="7"/>
      <c r="N228" s="12"/>
      <c r="O228" s="12" t="str">
        <f aca="false">IF($M228="","",IF(COUNTIFS('QC listings'!$A$5:$A$200,$M228,'QC listings'!$C$5:$C$200,O$4,'QC listings'!$F$5:$F$200,"Listing page")+COUNTIFS('QC listings'!$A$5:$A$200,$M228,'QC listings'!$C$5:$C$200,O$4,'QC listings'!$F$5:$F$200,"Brand page")&gt;0,"Y",IF(COUNTIFS('QC listings'!$A$5:$A$200,$M228,'QC listings'!$C$5:$C$200,O$4)&gt;0,"?","–")))</f>
        <v/>
      </c>
      <c r="P228" s="12" t="str">
        <f aca="false">IF($M228="","",IF(COUNTIFS('QC listings'!$A$5:$A$200,$M228,'QC listings'!$C$5:$C$200,P$4,'QC listings'!$F$5:$F$200,"Listing page")+COUNTIFS('QC listings'!$A$5:$A$200,$M228,'QC listings'!$C$5:$C$200,P$4,'QC listings'!$F$5:$F$200,"Brand page")&gt;0,"Y",IF(COUNTIFS('QC listings'!$A$5:$A$200,$M228,'QC listings'!$C$5:$C$200,P$4)&gt;0,"?","–")))</f>
        <v/>
      </c>
      <c r="Q228" s="12" t="str">
        <f aca="false">IF($M228="","",IF(COUNTIFS('QC listings'!$A$5:$A$200,$M228,'QC listings'!$C$5:$C$200,Q$4,'QC listings'!$F$5:$F$200,"Listing page")+COUNTIFS('QC listings'!$A$5:$A$200,$M228,'QC listings'!$C$5:$C$200,Q$4,'QC listings'!$F$5:$F$200,"Brand page")&gt;0,"Y",IF(COUNTIFS('QC listings'!$A$5:$A$200,$M228,'QC listings'!$C$5:$C$200,Q$4)&gt;0,"?","–")))</f>
        <v/>
      </c>
      <c r="R228" s="12" t="str">
        <f aca="false">IF($M228="","",IF(COUNTIFS('QC listings'!$A$5:$A$200,$M228,'QC listings'!$C$5:$C$200,R$4,'QC listings'!$F$5:$F$200,"Listing page")+COUNTIFS('QC listings'!$A$5:$A$200,$M228,'QC listings'!$C$5:$C$200,R$4,'QC listings'!$F$5:$F$200,"Brand page")&gt;0,"Y",IF(COUNTIFS('QC listings'!$A$5:$A$200,$M228,'QC listings'!$C$5:$C$200,R$4)&gt;0,"?","–")))</f>
        <v/>
      </c>
      <c r="S228" s="12" t="str">
        <f aca="false">IF($M228="","",COUNTIF(O228:R228,"Y"))</f>
        <v/>
      </c>
      <c r="T228" s="23" t="str">
        <f aca="false">IF($M228="","",SUMPRODUCT(MAX(('QC listings'!$A$5:$A$200=$M228)*'QC listings'!$E$5:$E$200)))</f>
        <v/>
      </c>
      <c r="U228" s="12" t="str">
        <f aca="false">IF($M228="","",IF(T228&gt;=Scoring!$B$11,3,IF(T228&gt;=Scoring!$B$10,2,IF(T228&gt;=Scoring!$B$9,1,0))))</f>
        <v/>
      </c>
      <c r="V228" s="12" t="n">
        <f aca="false">IFERROR(INDEX(Scoring!$B$27:$B$56,MATCH($E228,Scoring!$A$27:$A$56,0)),0)</f>
        <v>0</v>
      </c>
      <c r="W228" s="24" t="n">
        <f aca="false">IF($G228="","",ROUND((Scoring!$B$5-$G228)/30.4375,1))</f>
        <v>15.2</v>
      </c>
      <c r="X228" s="12" t="n">
        <f aca="false">IF($F228="Expired",Scoring!$B$18,IF($G228="",Scoring!$B$17,IF(W228&lt;=Scoring!$B$12,Scoring!$B$13,IF(W228&lt;=Scoring!$B$14,Scoring!$B$15,Scoring!$B$16))))</f>
        <v>1</v>
      </c>
      <c r="Y228" s="15" t="str">
        <f aca="false">IF($M228="","",ROUND((S228*Scoring!$B$6+U228*Scoring!$B$7)*IFERROR(INDEX(Scoring!$B$22:$B$24,MATCH($N228,Scoring!$A$22:$A$24,0)),1)+V228*Scoring!$B$8+X228,2))</f>
        <v/>
      </c>
      <c r="Z228" s="12" t="str">
        <f aca="false">IF($M228="","",IF(SUMPRODUCT(($M$5:$M$249=$M228)*($G$5:$G$249&gt;$G228))&gt;0,0,IF(SUMPRODUCT(($M$5:$M$249=$M228)*($G$5:$G$249=$G228)*(ROW($M$5:$M$249)&lt;ROW($M228)))&gt;0,0,1)))</f>
        <v/>
      </c>
      <c r="AA228" s="12" t="str">
        <f aca="false">IF($Z228=1,RANK($AE228,$AE$5:$AE$249,0),"")</f>
        <v/>
      </c>
      <c r="AB228" s="7" t="s">
        <v>153</v>
      </c>
      <c r="AC228" s="6" t="s">
        <v>154</v>
      </c>
      <c r="AD228" s="6"/>
      <c r="AE228" s="25" t="str">
        <f aca="false">IF($Z228=1,$Y228+$T228/1000000000-ROW()/10000000,"")</f>
        <v/>
      </c>
    </row>
    <row r="229" customFormat="false" ht="23.85" hidden="false" customHeight="false" outlineLevel="0" collapsed="false">
      <c r="A229" s="7" t="s">
        <v>1240</v>
      </c>
      <c r="B229" s="6" t="s">
        <v>930</v>
      </c>
      <c r="C229" s="6" t="s">
        <v>1241</v>
      </c>
      <c r="D229" s="7" t="s">
        <v>1193</v>
      </c>
      <c r="E229" s="7" t="s">
        <v>1237</v>
      </c>
      <c r="F229" s="12" t="s">
        <v>158</v>
      </c>
      <c r="G229" s="13" t="n">
        <v>45492</v>
      </c>
      <c r="H229" s="7" t="s">
        <v>1242</v>
      </c>
      <c r="I229" s="6" t="s">
        <v>149</v>
      </c>
      <c r="J229" s="7" t="s">
        <v>60</v>
      </c>
      <c r="K229" s="12"/>
      <c r="L229" s="10" t="s">
        <v>1243</v>
      </c>
      <c r="M229" s="7"/>
      <c r="N229" s="12"/>
      <c r="O229" s="12" t="str">
        <f aca="false">IF($M229="","",IF(COUNTIFS('QC listings'!$A$5:$A$200,$M229,'QC listings'!$C$5:$C$200,O$4,'QC listings'!$F$5:$F$200,"Listing page")+COUNTIFS('QC listings'!$A$5:$A$200,$M229,'QC listings'!$C$5:$C$200,O$4,'QC listings'!$F$5:$F$200,"Brand page")&gt;0,"Y",IF(COUNTIFS('QC listings'!$A$5:$A$200,$M229,'QC listings'!$C$5:$C$200,O$4)&gt;0,"?","–")))</f>
        <v/>
      </c>
      <c r="P229" s="12" t="str">
        <f aca="false">IF($M229="","",IF(COUNTIFS('QC listings'!$A$5:$A$200,$M229,'QC listings'!$C$5:$C$200,P$4,'QC listings'!$F$5:$F$200,"Listing page")+COUNTIFS('QC listings'!$A$5:$A$200,$M229,'QC listings'!$C$5:$C$200,P$4,'QC listings'!$F$5:$F$200,"Brand page")&gt;0,"Y",IF(COUNTIFS('QC listings'!$A$5:$A$200,$M229,'QC listings'!$C$5:$C$200,P$4)&gt;0,"?","–")))</f>
        <v/>
      </c>
      <c r="Q229" s="12" t="str">
        <f aca="false">IF($M229="","",IF(COUNTIFS('QC listings'!$A$5:$A$200,$M229,'QC listings'!$C$5:$C$200,Q$4,'QC listings'!$F$5:$F$200,"Listing page")+COUNTIFS('QC listings'!$A$5:$A$200,$M229,'QC listings'!$C$5:$C$200,Q$4,'QC listings'!$F$5:$F$200,"Brand page")&gt;0,"Y",IF(COUNTIFS('QC listings'!$A$5:$A$200,$M229,'QC listings'!$C$5:$C$200,Q$4)&gt;0,"?","–")))</f>
        <v/>
      </c>
      <c r="R229" s="12" t="str">
        <f aca="false">IF($M229="","",IF(COUNTIFS('QC listings'!$A$5:$A$200,$M229,'QC listings'!$C$5:$C$200,R$4,'QC listings'!$F$5:$F$200,"Listing page")+COUNTIFS('QC listings'!$A$5:$A$200,$M229,'QC listings'!$C$5:$C$200,R$4,'QC listings'!$F$5:$F$200,"Brand page")&gt;0,"Y",IF(COUNTIFS('QC listings'!$A$5:$A$200,$M229,'QC listings'!$C$5:$C$200,R$4)&gt;0,"?","–")))</f>
        <v/>
      </c>
      <c r="S229" s="12" t="str">
        <f aca="false">IF($M229="","",COUNTIF(O229:R229,"Y"))</f>
        <v/>
      </c>
      <c r="T229" s="23" t="str">
        <f aca="false">IF($M229="","",SUMPRODUCT(MAX(('QC listings'!$A$5:$A$200=$M229)*'QC listings'!$E$5:$E$200)))</f>
        <v/>
      </c>
      <c r="U229" s="12" t="str">
        <f aca="false">IF($M229="","",IF(T229&gt;=Scoring!$B$11,3,IF(T229&gt;=Scoring!$B$10,2,IF(T229&gt;=Scoring!$B$9,1,0))))</f>
        <v/>
      </c>
      <c r="V229" s="12" t="n">
        <f aca="false">IFERROR(INDEX(Scoring!$B$27:$B$56,MATCH($E229,Scoring!$A$27:$A$56,0)),0)</f>
        <v>0</v>
      </c>
      <c r="W229" s="24" t="n">
        <f aca="false">IF($G229="","",ROUND((Scoring!$B$5-$G229)/30.4375,1))</f>
        <v>26.4</v>
      </c>
      <c r="X229" s="12" t="n">
        <f aca="false">IF($F229="Expired",Scoring!$B$18,IF($G229="",Scoring!$B$17,IF(W229&lt;=Scoring!$B$12,Scoring!$B$13,IF(W229&lt;=Scoring!$B$14,Scoring!$B$15,Scoring!$B$16))))</f>
        <v>0</v>
      </c>
      <c r="Y229" s="15" t="str">
        <f aca="false">IF($M229="","",ROUND((S229*Scoring!$B$6+U229*Scoring!$B$7)*IFERROR(INDEX(Scoring!$B$22:$B$24,MATCH($N229,Scoring!$A$22:$A$24,0)),1)+V229*Scoring!$B$8+X229,2))</f>
        <v/>
      </c>
      <c r="Z229" s="12" t="str">
        <f aca="false">IF($M229="","",IF(SUMPRODUCT(($M$5:$M$249=$M229)*($G$5:$G$249&gt;$G229))&gt;0,0,IF(SUMPRODUCT(($M$5:$M$249=$M229)*($G$5:$G$249=$G229)*(ROW($M$5:$M$249)&lt;ROW($M229)))&gt;0,0,1)))</f>
        <v/>
      </c>
      <c r="AA229" s="12" t="str">
        <f aca="false">IF($Z229=1,RANK($AE229,$AE$5:$AE$249,0),"")</f>
        <v/>
      </c>
      <c r="AB229" s="7" t="s">
        <v>153</v>
      </c>
      <c r="AC229" s="6" t="s">
        <v>162</v>
      </c>
      <c r="AD229" s="6"/>
      <c r="AE229" s="25" t="str">
        <f aca="false">IF($Z229=1,$Y229+$T229/1000000000-ROW()/10000000,"")</f>
        <v/>
      </c>
    </row>
    <row r="230" customFormat="false" ht="23.85" hidden="false" customHeight="false" outlineLevel="0" collapsed="false">
      <c r="A230" s="7" t="s">
        <v>1244</v>
      </c>
      <c r="B230" s="6" t="s">
        <v>930</v>
      </c>
      <c r="C230" s="6" t="s">
        <v>1245</v>
      </c>
      <c r="D230" s="7" t="s">
        <v>1193</v>
      </c>
      <c r="E230" s="7" t="s">
        <v>1237</v>
      </c>
      <c r="F230" s="12" t="s">
        <v>158</v>
      </c>
      <c r="G230" s="13" t="n">
        <v>45660</v>
      </c>
      <c r="H230" s="7" t="s">
        <v>1246</v>
      </c>
      <c r="I230" s="6" t="s">
        <v>149</v>
      </c>
      <c r="J230" s="7" t="s">
        <v>60</v>
      </c>
      <c r="K230" s="12"/>
      <c r="L230" s="10" t="s">
        <v>1247</v>
      </c>
      <c r="M230" s="7"/>
      <c r="N230" s="12"/>
      <c r="O230" s="12" t="str">
        <f aca="false">IF($M230="","",IF(COUNTIFS('QC listings'!$A$5:$A$200,$M230,'QC listings'!$C$5:$C$200,O$4,'QC listings'!$F$5:$F$200,"Listing page")+COUNTIFS('QC listings'!$A$5:$A$200,$M230,'QC listings'!$C$5:$C$200,O$4,'QC listings'!$F$5:$F$200,"Brand page")&gt;0,"Y",IF(COUNTIFS('QC listings'!$A$5:$A$200,$M230,'QC listings'!$C$5:$C$200,O$4)&gt;0,"?","–")))</f>
        <v/>
      </c>
      <c r="P230" s="12" t="str">
        <f aca="false">IF($M230="","",IF(COUNTIFS('QC listings'!$A$5:$A$200,$M230,'QC listings'!$C$5:$C$200,P$4,'QC listings'!$F$5:$F$200,"Listing page")+COUNTIFS('QC listings'!$A$5:$A$200,$M230,'QC listings'!$C$5:$C$200,P$4,'QC listings'!$F$5:$F$200,"Brand page")&gt;0,"Y",IF(COUNTIFS('QC listings'!$A$5:$A$200,$M230,'QC listings'!$C$5:$C$200,P$4)&gt;0,"?","–")))</f>
        <v/>
      </c>
      <c r="Q230" s="12" t="str">
        <f aca="false">IF($M230="","",IF(COUNTIFS('QC listings'!$A$5:$A$200,$M230,'QC listings'!$C$5:$C$200,Q$4,'QC listings'!$F$5:$F$200,"Listing page")+COUNTIFS('QC listings'!$A$5:$A$200,$M230,'QC listings'!$C$5:$C$200,Q$4,'QC listings'!$F$5:$F$200,"Brand page")&gt;0,"Y",IF(COUNTIFS('QC listings'!$A$5:$A$200,$M230,'QC listings'!$C$5:$C$200,Q$4)&gt;0,"?","–")))</f>
        <v/>
      </c>
      <c r="R230" s="12" t="str">
        <f aca="false">IF($M230="","",IF(COUNTIFS('QC listings'!$A$5:$A$200,$M230,'QC listings'!$C$5:$C$200,R$4,'QC listings'!$F$5:$F$200,"Listing page")+COUNTIFS('QC listings'!$A$5:$A$200,$M230,'QC listings'!$C$5:$C$200,R$4,'QC listings'!$F$5:$F$200,"Brand page")&gt;0,"Y",IF(COUNTIFS('QC listings'!$A$5:$A$200,$M230,'QC listings'!$C$5:$C$200,R$4)&gt;0,"?","–")))</f>
        <v/>
      </c>
      <c r="S230" s="12" t="str">
        <f aca="false">IF($M230="","",COUNTIF(O230:R230,"Y"))</f>
        <v/>
      </c>
      <c r="T230" s="23" t="str">
        <f aca="false">IF($M230="","",SUMPRODUCT(MAX(('QC listings'!$A$5:$A$200=$M230)*'QC listings'!$E$5:$E$200)))</f>
        <v/>
      </c>
      <c r="U230" s="12" t="str">
        <f aca="false">IF($M230="","",IF(T230&gt;=Scoring!$B$11,3,IF(T230&gt;=Scoring!$B$10,2,IF(T230&gt;=Scoring!$B$9,1,0))))</f>
        <v/>
      </c>
      <c r="V230" s="12" t="n">
        <f aca="false">IFERROR(INDEX(Scoring!$B$27:$B$56,MATCH($E230,Scoring!$A$27:$A$56,0)),0)</f>
        <v>0</v>
      </c>
      <c r="W230" s="24" t="n">
        <f aca="false">IF($G230="","",ROUND((Scoring!$B$5-$G230)/30.4375,1))</f>
        <v>20.9</v>
      </c>
      <c r="X230" s="12" t="n">
        <f aca="false">IF($F230="Expired",Scoring!$B$18,IF($G230="",Scoring!$B$17,IF(W230&lt;=Scoring!$B$12,Scoring!$B$13,IF(W230&lt;=Scoring!$B$14,Scoring!$B$15,Scoring!$B$16))))</f>
        <v>1</v>
      </c>
      <c r="Y230" s="15" t="str">
        <f aca="false">IF($M230="","",ROUND((S230*Scoring!$B$6+U230*Scoring!$B$7)*IFERROR(INDEX(Scoring!$B$22:$B$24,MATCH($N230,Scoring!$A$22:$A$24,0)),1)+V230*Scoring!$B$8+X230,2))</f>
        <v/>
      </c>
      <c r="Z230" s="12" t="str">
        <f aca="false">IF($M230="","",IF(SUMPRODUCT(($M$5:$M$249=$M230)*($G$5:$G$249&gt;$G230))&gt;0,0,IF(SUMPRODUCT(($M$5:$M$249=$M230)*($G$5:$G$249=$G230)*(ROW($M$5:$M$249)&lt;ROW($M230)))&gt;0,0,1)))</f>
        <v/>
      </c>
      <c r="AA230" s="12" t="str">
        <f aca="false">IF($Z230=1,RANK($AE230,$AE$5:$AE$249,0),"")</f>
        <v/>
      </c>
      <c r="AB230" s="7" t="s">
        <v>153</v>
      </c>
      <c r="AC230" s="6" t="s">
        <v>162</v>
      </c>
      <c r="AD230" s="6"/>
      <c r="AE230" s="25" t="str">
        <f aca="false">IF($Z230=1,$Y230+$T230/1000000000-ROW()/10000000,"")</f>
        <v/>
      </c>
    </row>
    <row r="231" customFormat="false" ht="23.85" hidden="false" customHeight="false" outlineLevel="0" collapsed="false">
      <c r="A231" s="7" t="s">
        <v>1248</v>
      </c>
      <c r="B231" s="6" t="s">
        <v>939</v>
      </c>
      <c r="C231" s="6" t="s">
        <v>1249</v>
      </c>
      <c r="D231" s="7" t="s">
        <v>1193</v>
      </c>
      <c r="E231" s="7" t="s">
        <v>1237</v>
      </c>
      <c r="F231" s="12" t="s">
        <v>158</v>
      </c>
      <c r="G231" s="13" t="n">
        <v>45563</v>
      </c>
      <c r="H231" s="7" t="s">
        <v>1250</v>
      </c>
      <c r="I231" s="6" t="s">
        <v>952</v>
      </c>
      <c r="J231" s="7" t="s">
        <v>60</v>
      </c>
      <c r="K231" s="12"/>
      <c r="L231" s="10" t="s">
        <v>1251</v>
      </c>
      <c r="M231" s="7"/>
      <c r="N231" s="12"/>
      <c r="O231" s="12" t="str">
        <f aca="false">IF($M231="","",IF(COUNTIFS('QC listings'!$A$5:$A$200,$M231,'QC listings'!$C$5:$C$200,O$4,'QC listings'!$F$5:$F$200,"Listing page")+COUNTIFS('QC listings'!$A$5:$A$200,$M231,'QC listings'!$C$5:$C$200,O$4,'QC listings'!$F$5:$F$200,"Brand page")&gt;0,"Y",IF(COUNTIFS('QC listings'!$A$5:$A$200,$M231,'QC listings'!$C$5:$C$200,O$4)&gt;0,"?","–")))</f>
        <v/>
      </c>
      <c r="P231" s="12" t="str">
        <f aca="false">IF($M231="","",IF(COUNTIFS('QC listings'!$A$5:$A$200,$M231,'QC listings'!$C$5:$C$200,P$4,'QC listings'!$F$5:$F$200,"Listing page")+COUNTIFS('QC listings'!$A$5:$A$200,$M231,'QC listings'!$C$5:$C$200,P$4,'QC listings'!$F$5:$F$200,"Brand page")&gt;0,"Y",IF(COUNTIFS('QC listings'!$A$5:$A$200,$M231,'QC listings'!$C$5:$C$200,P$4)&gt;0,"?","–")))</f>
        <v/>
      </c>
      <c r="Q231" s="12" t="str">
        <f aca="false">IF($M231="","",IF(COUNTIFS('QC listings'!$A$5:$A$200,$M231,'QC listings'!$C$5:$C$200,Q$4,'QC listings'!$F$5:$F$200,"Listing page")+COUNTIFS('QC listings'!$A$5:$A$200,$M231,'QC listings'!$C$5:$C$200,Q$4,'QC listings'!$F$5:$F$200,"Brand page")&gt;0,"Y",IF(COUNTIFS('QC listings'!$A$5:$A$200,$M231,'QC listings'!$C$5:$C$200,Q$4)&gt;0,"?","–")))</f>
        <v/>
      </c>
      <c r="R231" s="12" t="str">
        <f aca="false">IF($M231="","",IF(COUNTIFS('QC listings'!$A$5:$A$200,$M231,'QC listings'!$C$5:$C$200,R$4,'QC listings'!$F$5:$F$200,"Listing page")+COUNTIFS('QC listings'!$A$5:$A$200,$M231,'QC listings'!$C$5:$C$200,R$4,'QC listings'!$F$5:$F$200,"Brand page")&gt;0,"Y",IF(COUNTIFS('QC listings'!$A$5:$A$200,$M231,'QC listings'!$C$5:$C$200,R$4)&gt;0,"?","–")))</f>
        <v/>
      </c>
      <c r="S231" s="12" t="str">
        <f aca="false">IF($M231="","",COUNTIF(O231:R231,"Y"))</f>
        <v/>
      </c>
      <c r="T231" s="23" t="str">
        <f aca="false">IF($M231="","",SUMPRODUCT(MAX(('QC listings'!$A$5:$A$200=$M231)*'QC listings'!$E$5:$E$200)))</f>
        <v/>
      </c>
      <c r="U231" s="12" t="str">
        <f aca="false">IF($M231="","",IF(T231&gt;=Scoring!$B$11,3,IF(T231&gt;=Scoring!$B$10,2,IF(T231&gt;=Scoring!$B$9,1,0))))</f>
        <v/>
      </c>
      <c r="V231" s="12" t="n">
        <f aca="false">IFERROR(INDEX(Scoring!$B$27:$B$56,MATCH($E231,Scoring!$A$27:$A$56,0)),0)</f>
        <v>0</v>
      </c>
      <c r="W231" s="24" t="n">
        <f aca="false">IF($G231="","",ROUND((Scoring!$B$5-$G231)/30.4375,1))</f>
        <v>24.1</v>
      </c>
      <c r="X231" s="12" t="n">
        <f aca="false">IF($F231="Expired",Scoring!$B$18,IF($G231="",Scoring!$B$17,IF(W231&lt;=Scoring!$B$12,Scoring!$B$13,IF(W231&lt;=Scoring!$B$14,Scoring!$B$15,Scoring!$B$16))))</f>
        <v>0</v>
      </c>
      <c r="Y231" s="15" t="str">
        <f aca="false">IF($M231="","",ROUND((S231*Scoring!$B$6+U231*Scoring!$B$7)*IFERROR(INDEX(Scoring!$B$22:$B$24,MATCH($N231,Scoring!$A$22:$A$24,0)),1)+V231*Scoring!$B$8+X231,2))</f>
        <v/>
      </c>
      <c r="Z231" s="12" t="str">
        <f aca="false">IF($M231="","",IF(SUMPRODUCT(($M$5:$M$249=$M231)*($G$5:$G$249&gt;$G231))&gt;0,0,IF(SUMPRODUCT(($M$5:$M$249=$M231)*($G$5:$G$249=$G231)*(ROW($M$5:$M$249)&lt;ROW($M231)))&gt;0,0,1)))</f>
        <v/>
      </c>
      <c r="AA231" s="12" t="str">
        <f aca="false">IF($Z231=1,RANK($AE231,$AE$5:$AE$249,0),"")</f>
        <v/>
      </c>
      <c r="AB231" s="7" t="s">
        <v>153</v>
      </c>
      <c r="AC231" s="6" t="s">
        <v>162</v>
      </c>
      <c r="AD231" s="6"/>
      <c r="AE231" s="25" t="str">
        <f aca="false">IF($Z231=1,$Y231+$T231/1000000000-ROW()/10000000,"")</f>
        <v/>
      </c>
    </row>
    <row r="232" customFormat="false" ht="23.85" hidden="false" customHeight="false" outlineLevel="0" collapsed="false">
      <c r="A232" s="7" t="s">
        <v>1252</v>
      </c>
      <c r="B232" s="6" t="s">
        <v>1253</v>
      </c>
      <c r="C232" s="6" t="s">
        <v>1237</v>
      </c>
      <c r="D232" s="7" t="s">
        <v>1193</v>
      </c>
      <c r="E232" s="7" t="s">
        <v>1237</v>
      </c>
      <c r="F232" s="12" t="s">
        <v>158</v>
      </c>
      <c r="G232" s="13" t="n">
        <v>46085</v>
      </c>
      <c r="H232" s="7" t="s">
        <v>1254</v>
      </c>
      <c r="I232" s="6" t="s">
        <v>149</v>
      </c>
      <c r="J232" s="7" t="s">
        <v>60</v>
      </c>
      <c r="K232" s="12"/>
      <c r="L232" s="10" t="s">
        <v>1255</v>
      </c>
      <c r="M232" s="7"/>
      <c r="N232" s="12"/>
      <c r="O232" s="12" t="str">
        <f aca="false">IF($M232="","",IF(COUNTIFS('QC listings'!$A$5:$A$200,$M232,'QC listings'!$C$5:$C$200,O$4,'QC listings'!$F$5:$F$200,"Listing page")+COUNTIFS('QC listings'!$A$5:$A$200,$M232,'QC listings'!$C$5:$C$200,O$4,'QC listings'!$F$5:$F$200,"Brand page")&gt;0,"Y",IF(COUNTIFS('QC listings'!$A$5:$A$200,$M232,'QC listings'!$C$5:$C$200,O$4)&gt;0,"?","–")))</f>
        <v/>
      </c>
      <c r="P232" s="12" t="str">
        <f aca="false">IF($M232="","",IF(COUNTIFS('QC listings'!$A$5:$A$200,$M232,'QC listings'!$C$5:$C$200,P$4,'QC listings'!$F$5:$F$200,"Listing page")+COUNTIFS('QC listings'!$A$5:$A$200,$M232,'QC listings'!$C$5:$C$200,P$4,'QC listings'!$F$5:$F$200,"Brand page")&gt;0,"Y",IF(COUNTIFS('QC listings'!$A$5:$A$200,$M232,'QC listings'!$C$5:$C$200,P$4)&gt;0,"?","–")))</f>
        <v/>
      </c>
      <c r="Q232" s="12" t="str">
        <f aca="false">IF($M232="","",IF(COUNTIFS('QC listings'!$A$5:$A$200,$M232,'QC listings'!$C$5:$C$200,Q$4,'QC listings'!$F$5:$F$200,"Listing page")+COUNTIFS('QC listings'!$A$5:$A$200,$M232,'QC listings'!$C$5:$C$200,Q$4,'QC listings'!$F$5:$F$200,"Brand page")&gt;0,"Y",IF(COUNTIFS('QC listings'!$A$5:$A$200,$M232,'QC listings'!$C$5:$C$200,Q$4)&gt;0,"?","–")))</f>
        <v/>
      </c>
      <c r="R232" s="12" t="str">
        <f aca="false">IF($M232="","",IF(COUNTIFS('QC listings'!$A$5:$A$200,$M232,'QC listings'!$C$5:$C$200,R$4,'QC listings'!$F$5:$F$200,"Listing page")+COUNTIFS('QC listings'!$A$5:$A$200,$M232,'QC listings'!$C$5:$C$200,R$4,'QC listings'!$F$5:$F$200,"Brand page")&gt;0,"Y",IF(COUNTIFS('QC listings'!$A$5:$A$200,$M232,'QC listings'!$C$5:$C$200,R$4)&gt;0,"?","–")))</f>
        <v/>
      </c>
      <c r="S232" s="12" t="str">
        <f aca="false">IF($M232="","",COUNTIF(O232:R232,"Y"))</f>
        <v/>
      </c>
      <c r="T232" s="23" t="str">
        <f aca="false">IF($M232="","",SUMPRODUCT(MAX(('QC listings'!$A$5:$A$200=$M232)*'QC listings'!$E$5:$E$200)))</f>
        <v/>
      </c>
      <c r="U232" s="12" t="str">
        <f aca="false">IF($M232="","",IF(T232&gt;=Scoring!$B$11,3,IF(T232&gt;=Scoring!$B$10,2,IF(T232&gt;=Scoring!$B$9,1,0))))</f>
        <v/>
      </c>
      <c r="V232" s="12" t="n">
        <f aca="false">IFERROR(INDEX(Scoring!$B$27:$B$56,MATCH($E232,Scoring!$A$27:$A$56,0)),0)</f>
        <v>0</v>
      </c>
      <c r="W232" s="24" t="n">
        <f aca="false">IF($G232="","",ROUND((Scoring!$B$5-$G232)/30.4375,1))</f>
        <v>7</v>
      </c>
      <c r="X232" s="12" t="n">
        <f aca="false">IF($F232="Expired",Scoring!$B$18,IF($G232="",Scoring!$B$17,IF(W232&lt;=Scoring!$B$12,Scoring!$B$13,IF(W232&lt;=Scoring!$B$14,Scoring!$B$15,Scoring!$B$16))))</f>
        <v>2</v>
      </c>
      <c r="Y232" s="15" t="str">
        <f aca="false">IF($M232="","",ROUND((S232*Scoring!$B$6+U232*Scoring!$B$7)*IFERROR(INDEX(Scoring!$B$22:$B$24,MATCH($N232,Scoring!$A$22:$A$24,0)),1)+V232*Scoring!$B$8+X232,2))</f>
        <v/>
      </c>
      <c r="Z232" s="12" t="str">
        <f aca="false">IF($M232="","",IF(SUMPRODUCT(($M$5:$M$249=$M232)*($G$5:$G$249&gt;$G232))&gt;0,0,IF(SUMPRODUCT(($M$5:$M$249=$M232)*($G$5:$G$249=$G232)*(ROW($M$5:$M$249)&lt;ROW($M232)))&gt;0,0,1)))</f>
        <v/>
      </c>
      <c r="AA232" s="12" t="str">
        <f aca="false">IF($Z232=1,RANK($AE232,$AE$5:$AE$249,0),"")</f>
        <v/>
      </c>
      <c r="AB232" s="7" t="s">
        <v>153</v>
      </c>
      <c r="AC232" s="6" t="s">
        <v>162</v>
      </c>
      <c r="AD232" s="6"/>
      <c r="AE232" s="25" t="str">
        <f aca="false">IF($Z232=1,$Y232+$T232/1000000000-ROW()/10000000,"")</f>
        <v/>
      </c>
    </row>
    <row r="233" customFormat="false" ht="23.85" hidden="false" customHeight="false" outlineLevel="0" collapsed="false">
      <c r="A233" s="7" t="s">
        <v>1256</v>
      </c>
      <c r="B233" s="6" t="s">
        <v>1257</v>
      </c>
      <c r="C233" s="6" t="s">
        <v>1236</v>
      </c>
      <c r="D233" s="7" t="s">
        <v>1193</v>
      </c>
      <c r="E233" s="7" t="s">
        <v>1237</v>
      </c>
      <c r="F233" s="12" t="s">
        <v>147</v>
      </c>
      <c r="G233" s="13" t="n">
        <v>45680</v>
      </c>
      <c r="H233" s="7" t="s">
        <v>1258</v>
      </c>
      <c r="I233" s="6" t="s">
        <v>149</v>
      </c>
      <c r="J233" s="7" t="s">
        <v>60</v>
      </c>
      <c r="K233" s="12"/>
      <c r="L233" s="10" t="s">
        <v>1259</v>
      </c>
      <c r="M233" s="7"/>
      <c r="N233" s="12"/>
      <c r="O233" s="12" t="str">
        <f aca="false">IF($M233="","",IF(COUNTIFS('QC listings'!$A$5:$A$200,$M233,'QC listings'!$C$5:$C$200,O$4,'QC listings'!$F$5:$F$200,"Listing page")+COUNTIFS('QC listings'!$A$5:$A$200,$M233,'QC listings'!$C$5:$C$200,O$4,'QC listings'!$F$5:$F$200,"Brand page")&gt;0,"Y",IF(COUNTIFS('QC listings'!$A$5:$A$200,$M233,'QC listings'!$C$5:$C$200,O$4)&gt;0,"?","–")))</f>
        <v/>
      </c>
      <c r="P233" s="12" t="str">
        <f aca="false">IF($M233="","",IF(COUNTIFS('QC listings'!$A$5:$A$200,$M233,'QC listings'!$C$5:$C$200,P$4,'QC listings'!$F$5:$F$200,"Listing page")+COUNTIFS('QC listings'!$A$5:$A$200,$M233,'QC listings'!$C$5:$C$200,P$4,'QC listings'!$F$5:$F$200,"Brand page")&gt;0,"Y",IF(COUNTIFS('QC listings'!$A$5:$A$200,$M233,'QC listings'!$C$5:$C$200,P$4)&gt;0,"?","–")))</f>
        <v/>
      </c>
      <c r="Q233" s="12" t="str">
        <f aca="false">IF($M233="","",IF(COUNTIFS('QC listings'!$A$5:$A$200,$M233,'QC listings'!$C$5:$C$200,Q$4,'QC listings'!$F$5:$F$200,"Listing page")+COUNTIFS('QC listings'!$A$5:$A$200,$M233,'QC listings'!$C$5:$C$200,Q$4,'QC listings'!$F$5:$F$200,"Brand page")&gt;0,"Y",IF(COUNTIFS('QC listings'!$A$5:$A$200,$M233,'QC listings'!$C$5:$C$200,Q$4)&gt;0,"?","–")))</f>
        <v/>
      </c>
      <c r="R233" s="12" t="str">
        <f aca="false">IF($M233="","",IF(COUNTIFS('QC listings'!$A$5:$A$200,$M233,'QC listings'!$C$5:$C$200,R$4,'QC listings'!$F$5:$F$200,"Listing page")+COUNTIFS('QC listings'!$A$5:$A$200,$M233,'QC listings'!$C$5:$C$200,R$4,'QC listings'!$F$5:$F$200,"Brand page")&gt;0,"Y",IF(COUNTIFS('QC listings'!$A$5:$A$200,$M233,'QC listings'!$C$5:$C$200,R$4)&gt;0,"?","–")))</f>
        <v/>
      </c>
      <c r="S233" s="12" t="str">
        <f aca="false">IF($M233="","",COUNTIF(O233:R233,"Y"))</f>
        <v/>
      </c>
      <c r="T233" s="23" t="str">
        <f aca="false">IF($M233="","",SUMPRODUCT(MAX(('QC listings'!$A$5:$A$200=$M233)*'QC listings'!$E$5:$E$200)))</f>
        <v/>
      </c>
      <c r="U233" s="12" t="str">
        <f aca="false">IF($M233="","",IF(T233&gt;=Scoring!$B$11,3,IF(T233&gt;=Scoring!$B$10,2,IF(T233&gt;=Scoring!$B$9,1,0))))</f>
        <v/>
      </c>
      <c r="V233" s="12" t="n">
        <f aca="false">IFERROR(INDEX(Scoring!$B$27:$B$56,MATCH($E233,Scoring!$A$27:$A$56,0)),0)</f>
        <v>0</v>
      </c>
      <c r="W233" s="24" t="n">
        <f aca="false">IF($G233="","",ROUND((Scoring!$B$5-$G233)/30.4375,1))</f>
        <v>20.3</v>
      </c>
      <c r="X233" s="12" t="n">
        <f aca="false">IF($F233="Expired",Scoring!$B$18,IF($G233="",Scoring!$B$17,IF(W233&lt;=Scoring!$B$12,Scoring!$B$13,IF(W233&lt;=Scoring!$B$14,Scoring!$B$15,Scoring!$B$16))))</f>
        <v>1</v>
      </c>
      <c r="Y233" s="15" t="str">
        <f aca="false">IF($M233="","",ROUND((S233*Scoring!$B$6+U233*Scoring!$B$7)*IFERROR(INDEX(Scoring!$B$22:$B$24,MATCH($N233,Scoring!$A$22:$A$24,0)),1)+V233*Scoring!$B$8+X233,2))</f>
        <v/>
      </c>
      <c r="Z233" s="12" t="str">
        <f aca="false">IF($M233="","",IF(SUMPRODUCT(($M$5:$M$249=$M233)*($G$5:$G$249&gt;$G233))&gt;0,0,IF(SUMPRODUCT(($M$5:$M$249=$M233)*($G$5:$G$249=$G233)*(ROW($M$5:$M$249)&lt;ROW($M233)))&gt;0,0,1)))</f>
        <v/>
      </c>
      <c r="AA233" s="12" t="str">
        <f aca="false">IF($Z233=1,RANK($AE233,$AE$5:$AE$249,0),"")</f>
        <v/>
      </c>
      <c r="AB233" s="7" t="s">
        <v>153</v>
      </c>
      <c r="AC233" s="6" t="s">
        <v>154</v>
      </c>
      <c r="AD233" s="6"/>
      <c r="AE233" s="25" t="str">
        <f aca="false">IF($Z233=1,$Y233+$T233/1000000000-ROW()/10000000,"")</f>
        <v/>
      </c>
    </row>
    <row r="234" customFormat="false" ht="23.85" hidden="false" customHeight="false" outlineLevel="0" collapsed="false">
      <c r="A234" s="7" t="s">
        <v>1260</v>
      </c>
      <c r="B234" s="6" t="s">
        <v>979</v>
      </c>
      <c r="C234" s="6" t="s">
        <v>1261</v>
      </c>
      <c r="D234" s="7" t="s">
        <v>1193</v>
      </c>
      <c r="E234" s="7" t="s">
        <v>1237</v>
      </c>
      <c r="F234" s="12" t="s">
        <v>158</v>
      </c>
      <c r="G234" s="13" t="n">
        <v>46126</v>
      </c>
      <c r="H234" s="7" t="s">
        <v>1262</v>
      </c>
      <c r="I234" s="6" t="s">
        <v>149</v>
      </c>
      <c r="J234" s="7" t="s">
        <v>60</v>
      </c>
      <c r="K234" s="12"/>
      <c r="L234" s="10" t="s">
        <v>1263</v>
      </c>
      <c r="M234" s="7"/>
      <c r="N234" s="12"/>
      <c r="O234" s="12" t="str">
        <f aca="false">IF($M234="","",IF(COUNTIFS('QC listings'!$A$5:$A$200,$M234,'QC listings'!$C$5:$C$200,O$4,'QC listings'!$F$5:$F$200,"Listing page")+COUNTIFS('QC listings'!$A$5:$A$200,$M234,'QC listings'!$C$5:$C$200,O$4,'QC listings'!$F$5:$F$200,"Brand page")&gt;0,"Y",IF(COUNTIFS('QC listings'!$A$5:$A$200,$M234,'QC listings'!$C$5:$C$200,O$4)&gt;0,"?","–")))</f>
        <v/>
      </c>
      <c r="P234" s="12" t="str">
        <f aca="false">IF($M234="","",IF(COUNTIFS('QC listings'!$A$5:$A$200,$M234,'QC listings'!$C$5:$C$200,P$4,'QC listings'!$F$5:$F$200,"Listing page")+COUNTIFS('QC listings'!$A$5:$A$200,$M234,'QC listings'!$C$5:$C$200,P$4,'QC listings'!$F$5:$F$200,"Brand page")&gt;0,"Y",IF(COUNTIFS('QC listings'!$A$5:$A$200,$M234,'QC listings'!$C$5:$C$200,P$4)&gt;0,"?","–")))</f>
        <v/>
      </c>
      <c r="Q234" s="12" t="str">
        <f aca="false">IF($M234="","",IF(COUNTIFS('QC listings'!$A$5:$A$200,$M234,'QC listings'!$C$5:$C$200,Q$4,'QC listings'!$F$5:$F$200,"Listing page")+COUNTIFS('QC listings'!$A$5:$A$200,$M234,'QC listings'!$C$5:$C$200,Q$4,'QC listings'!$F$5:$F$200,"Brand page")&gt;0,"Y",IF(COUNTIFS('QC listings'!$A$5:$A$200,$M234,'QC listings'!$C$5:$C$200,Q$4)&gt;0,"?","–")))</f>
        <v/>
      </c>
      <c r="R234" s="12" t="str">
        <f aca="false">IF($M234="","",IF(COUNTIFS('QC listings'!$A$5:$A$200,$M234,'QC listings'!$C$5:$C$200,R$4,'QC listings'!$F$5:$F$200,"Listing page")+COUNTIFS('QC listings'!$A$5:$A$200,$M234,'QC listings'!$C$5:$C$200,R$4,'QC listings'!$F$5:$F$200,"Brand page")&gt;0,"Y",IF(COUNTIFS('QC listings'!$A$5:$A$200,$M234,'QC listings'!$C$5:$C$200,R$4)&gt;0,"?","–")))</f>
        <v/>
      </c>
      <c r="S234" s="12" t="str">
        <f aca="false">IF($M234="","",COUNTIF(O234:R234,"Y"))</f>
        <v/>
      </c>
      <c r="T234" s="23" t="str">
        <f aca="false">IF($M234="","",SUMPRODUCT(MAX(('QC listings'!$A$5:$A$200=$M234)*'QC listings'!$E$5:$E$200)))</f>
        <v/>
      </c>
      <c r="U234" s="12" t="str">
        <f aca="false">IF($M234="","",IF(T234&gt;=Scoring!$B$11,3,IF(T234&gt;=Scoring!$B$10,2,IF(T234&gt;=Scoring!$B$9,1,0))))</f>
        <v/>
      </c>
      <c r="V234" s="12" t="n">
        <f aca="false">IFERROR(INDEX(Scoring!$B$27:$B$56,MATCH($E234,Scoring!$A$27:$A$56,0)),0)</f>
        <v>0</v>
      </c>
      <c r="W234" s="24" t="n">
        <f aca="false">IF($G234="","",ROUND((Scoring!$B$5-$G234)/30.4375,1))</f>
        <v>5.6</v>
      </c>
      <c r="X234" s="12" t="n">
        <f aca="false">IF($F234="Expired",Scoring!$B$18,IF($G234="",Scoring!$B$17,IF(W234&lt;=Scoring!$B$12,Scoring!$B$13,IF(W234&lt;=Scoring!$B$14,Scoring!$B$15,Scoring!$B$16))))</f>
        <v>2</v>
      </c>
      <c r="Y234" s="15" t="str">
        <f aca="false">IF($M234="","",ROUND((S234*Scoring!$B$6+U234*Scoring!$B$7)*IFERROR(INDEX(Scoring!$B$22:$B$24,MATCH($N234,Scoring!$A$22:$A$24,0)),1)+V234*Scoring!$B$8+X234,2))</f>
        <v/>
      </c>
      <c r="Z234" s="12" t="str">
        <f aca="false">IF($M234="","",IF(SUMPRODUCT(($M$5:$M$249=$M234)*($G$5:$G$249&gt;$G234))&gt;0,0,IF(SUMPRODUCT(($M$5:$M$249=$M234)*($G$5:$G$249=$G234)*(ROW($M$5:$M$249)&lt;ROW($M234)))&gt;0,0,1)))</f>
        <v/>
      </c>
      <c r="AA234" s="12" t="str">
        <f aca="false">IF($Z234=1,RANK($AE234,$AE$5:$AE$249,0),"")</f>
        <v/>
      </c>
      <c r="AB234" s="7" t="s">
        <v>153</v>
      </c>
      <c r="AC234" s="6" t="s">
        <v>162</v>
      </c>
      <c r="AD234" s="6"/>
      <c r="AE234" s="25" t="str">
        <f aca="false">IF($Z234=1,$Y234+$T234/1000000000-ROW()/10000000,"")</f>
        <v/>
      </c>
    </row>
    <row r="235" customFormat="false" ht="23.85" hidden="false" customHeight="false" outlineLevel="0" collapsed="false">
      <c r="A235" s="7" t="s">
        <v>1264</v>
      </c>
      <c r="B235" s="6" t="s">
        <v>1265</v>
      </c>
      <c r="C235" s="6" t="s">
        <v>1236</v>
      </c>
      <c r="D235" s="7" t="s">
        <v>1193</v>
      </c>
      <c r="E235" s="7" t="s">
        <v>1237</v>
      </c>
      <c r="F235" s="12" t="s">
        <v>147</v>
      </c>
      <c r="G235" s="13" t="n">
        <v>45816</v>
      </c>
      <c r="H235" s="7" t="s">
        <v>1266</v>
      </c>
      <c r="I235" s="6" t="s">
        <v>149</v>
      </c>
      <c r="J235" s="7" t="s">
        <v>60</v>
      </c>
      <c r="K235" s="12"/>
      <c r="L235" s="10" t="s">
        <v>1267</v>
      </c>
      <c r="M235" s="7"/>
      <c r="N235" s="12"/>
      <c r="O235" s="12" t="str">
        <f aca="false">IF($M235="","",IF(COUNTIFS('QC listings'!$A$5:$A$200,$M235,'QC listings'!$C$5:$C$200,O$4,'QC listings'!$F$5:$F$200,"Listing page")+COUNTIFS('QC listings'!$A$5:$A$200,$M235,'QC listings'!$C$5:$C$200,O$4,'QC listings'!$F$5:$F$200,"Brand page")&gt;0,"Y",IF(COUNTIFS('QC listings'!$A$5:$A$200,$M235,'QC listings'!$C$5:$C$200,O$4)&gt;0,"?","–")))</f>
        <v/>
      </c>
      <c r="P235" s="12" t="str">
        <f aca="false">IF($M235="","",IF(COUNTIFS('QC listings'!$A$5:$A$200,$M235,'QC listings'!$C$5:$C$200,P$4,'QC listings'!$F$5:$F$200,"Listing page")+COUNTIFS('QC listings'!$A$5:$A$200,$M235,'QC listings'!$C$5:$C$200,P$4,'QC listings'!$F$5:$F$200,"Brand page")&gt;0,"Y",IF(COUNTIFS('QC listings'!$A$5:$A$200,$M235,'QC listings'!$C$5:$C$200,P$4)&gt;0,"?","–")))</f>
        <v/>
      </c>
      <c r="Q235" s="12" t="str">
        <f aca="false">IF($M235="","",IF(COUNTIFS('QC listings'!$A$5:$A$200,$M235,'QC listings'!$C$5:$C$200,Q$4,'QC listings'!$F$5:$F$200,"Listing page")+COUNTIFS('QC listings'!$A$5:$A$200,$M235,'QC listings'!$C$5:$C$200,Q$4,'QC listings'!$F$5:$F$200,"Brand page")&gt;0,"Y",IF(COUNTIFS('QC listings'!$A$5:$A$200,$M235,'QC listings'!$C$5:$C$200,Q$4)&gt;0,"?","–")))</f>
        <v/>
      </c>
      <c r="R235" s="12" t="str">
        <f aca="false">IF($M235="","",IF(COUNTIFS('QC listings'!$A$5:$A$200,$M235,'QC listings'!$C$5:$C$200,R$4,'QC listings'!$F$5:$F$200,"Listing page")+COUNTIFS('QC listings'!$A$5:$A$200,$M235,'QC listings'!$C$5:$C$200,R$4,'QC listings'!$F$5:$F$200,"Brand page")&gt;0,"Y",IF(COUNTIFS('QC listings'!$A$5:$A$200,$M235,'QC listings'!$C$5:$C$200,R$4)&gt;0,"?","–")))</f>
        <v/>
      </c>
      <c r="S235" s="12" t="str">
        <f aca="false">IF($M235="","",COUNTIF(O235:R235,"Y"))</f>
        <v/>
      </c>
      <c r="T235" s="23" t="str">
        <f aca="false">IF($M235="","",SUMPRODUCT(MAX(('QC listings'!$A$5:$A$200=$M235)*'QC listings'!$E$5:$E$200)))</f>
        <v/>
      </c>
      <c r="U235" s="12" t="str">
        <f aca="false">IF($M235="","",IF(T235&gt;=Scoring!$B$11,3,IF(T235&gt;=Scoring!$B$10,2,IF(T235&gt;=Scoring!$B$9,1,0))))</f>
        <v/>
      </c>
      <c r="V235" s="12" t="n">
        <f aca="false">IFERROR(INDEX(Scoring!$B$27:$B$56,MATCH($E235,Scoring!$A$27:$A$56,0)),0)</f>
        <v>0</v>
      </c>
      <c r="W235" s="24" t="n">
        <f aca="false">IF($G235="","",ROUND((Scoring!$B$5-$G235)/30.4375,1))</f>
        <v>15.8</v>
      </c>
      <c r="X235" s="12" t="n">
        <f aca="false">IF($F235="Expired",Scoring!$B$18,IF($G235="",Scoring!$B$17,IF(W235&lt;=Scoring!$B$12,Scoring!$B$13,IF(W235&lt;=Scoring!$B$14,Scoring!$B$15,Scoring!$B$16))))</f>
        <v>1</v>
      </c>
      <c r="Y235" s="15" t="str">
        <f aca="false">IF($M235="","",ROUND((S235*Scoring!$B$6+U235*Scoring!$B$7)*IFERROR(INDEX(Scoring!$B$22:$B$24,MATCH($N235,Scoring!$A$22:$A$24,0)),1)+V235*Scoring!$B$8+X235,2))</f>
        <v/>
      </c>
      <c r="Z235" s="12" t="str">
        <f aca="false">IF($M235="","",IF(SUMPRODUCT(($M$5:$M$249=$M235)*($G$5:$G$249&gt;$G235))&gt;0,0,IF(SUMPRODUCT(($M$5:$M$249=$M235)*($G$5:$G$249=$G235)*(ROW($M$5:$M$249)&lt;ROW($M235)))&gt;0,0,1)))</f>
        <v/>
      </c>
      <c r="AA235" s="12" t="str">
        <f aca="false">IF($Z235=1,RANK($AE235,$AE$5:$AE$249,0),"")</f>
        <v/>
      </c>
      <c r="AB235" s="7" t="s">
        <v>153</v>
      </c>
      <c r="AC235" s="6" t="s">
        <v>154</v>
      </c>
      <c r="AD235" s="6"/>
      <c r="AE235" s="25" t="str">
        <f aca="false">IF($Z235=1,$Y235+$T235/1000000000-ROW()/10000000,"")</f>
        <v/>
      </c>
    </row>
    <row r="236" customFormat="false" ht="23.85" hidden="false" customHeight="false" outlineLevel="0" collapsed="false">
      <c r="A236" s="7" t="s">
        <v>1268</v>
      </c>
      <c r="B236" s="6" t="s">
        <v>1269</v>
      </c>
      <c r="C236" s="6" t="s">
        <v>1270</v>
      </c>
      <c r="D236" s="7" t="s">
        <v>1193</v>
      </c>
      <c r="E236" s="7" t="s">
        <v>1237</v>
      </c>
      <c r="F236" s="12" t="s">
        <v>147</v>
      </c>
      <c r="G236" s="13" t="n">
        <v>45646</v>
      </c>
      <c r="H236" s="7" t="s">
        <v>1271</v>
      </c>
      <c r="I236" s="6" t="s">
        <v>952</v>
      </c>
      <c r="J236" s="7" t="s">
        <v>60</v>
      </c>
      <c r="K236" s="12"/>
      <c r="L236" s="10" t="s">
        <v>1272</v>
      </c>
      <c r="M236" s="7"/>
      <c r="N236" s="12"/>
      <c r="O236" s="12" t="str">
        <f aca="false">IF($M236="","",IF(COUNTIFS('QC listings'!$A$5:$A$200,$M236,'QC listings'!$C$5:$C$200,O$4,'QC listings'!$F$5:$F$200,"Listing page")+COUNTIFS('QC listings'!$A$5:$A$200,$M236,'QC listings'!$C$5:$C$200,O$4,'QC listings'!$F$5:$F$200,"Brand page")&gt;0,"Y",IF(COUNTIFS('QC listings'!$A$5:$A$200,$M236,'QC listings'!$C$5:$C$200,O$4)&gt;0,"?","–")))</f>
        <v/>
      </c>
      <c r="P236" s="12" t="str">
        <f aca="false">IF($M236="","",IF(COUNTIFS('QC listings'!$A$5:$A$200,$M236,'QC listings'!$C$5:$C$200,P$4,'QC listings'!$F$5:$F$200,"Listing page")+COUNTIFS('QC listings'!$A$5:$A$200,$M236,'QC listings'!$C$5:$C$200,P$4,'QC listings'!$F$5:$F$200,"Brand page")&gt;0,"Y",IF(COUNTIFS('QC listings'!$A$5:$A$200,$M236,'QC listings'!$C$5:$C$200,P$4)&gt;0,"?","–")))</f>
        <v/>
      </c>
      <c r="Q236" s="12" t="str">
        <f aca="false">IF($M236="","",IF(COUNTIFS('QC listings'!$A$5:$A$200,$M236,'QC listings'!$C$5:$C$200,Q$4,'QC listings'!$F$5:$F$200,"Listing page")+COUNTIFS('QC listings'!$A$5:$A$200,$M236,'QC listings'!$C$5:$C$200,Q$4,'QC listings'!$F$5:$F$200,"Brand page")&gt;0,"Y",IF(COUNTIFS('QC listings'!$A$5:$A$200,$M236,'QC listings'!$C$5:$C$200,Q$4)&gt;0,"?","–")))</f>
        <v/>
      </c>
      <c r="R236" s="12" t="str">
        <f aca="false">IF($M236="","",IF(COUNTIFS('QC listings'!$A$5:$A$200,$M236,'QC listings'!$C$5:$C$200,R$4,'QC listings'!$F$5:$F$200,"Listing page")+COUNTIFS('QC listings'!$A$5:$A$200,$M236,'QC listings'!$C$5:$C$200,R$4,'QC listings'!$F$5:$F$200,"Brand page")&gt;0,"Y",IF(COUNTIFS('QC listings'!$A$5:$A$200,$M236,'QC listings'!$C$5:$C$200,R$4)&gt;0,"?","–")))</f>
        <v/>
      </c>
      <c r="S236" s="12" t="str">
        <f aca="false">IF($M236="","",COUNTIF(O236:R236,"Y"))</f>
        <v/>
      </c>
      <c r="T236" s="23" t="str">
        <f aca="false">IF($M236="","",SUMPRODUCT(MAX(('QC listings'!$A$5:$A$200=$M236)*'QC listings'!$E$5:$E$200)))</f>
        <v/>
      </c>
      <c r="U236" s="12" t="str">
        <f aca="false">IF($M236="","",IF(T236&gt;=Scoring!$B$11,3,IF(T236&gt;=Scoring!$B$10,2,IF(T236&gt;=Scoring!$B$9,1,0))))</f>
        <v/>
      </c>
      <c r="V236" s="12" t="n">
        <f aca="false">IFERROR(INDEX(Scoring!$B$27:$B$56,MATCH($E236,Scoring!$A$27:$A$56,0)),0)</f>
        <v>0</v>
      </c>
      <c r="W236" s="24" t="n">
        <f aca="false">IF($G236="","",ROUND((Scoring!$B$5-$G236)/30.4375,1))</f>
        <v>21.4</v>
      </c>
      <c r="X236" s="12" t="n">
        <f aca="false">IF($F236="Expired",Scoring!$B$18,IF($G236="",Scoring!$B$17,IF(W236&lt;=Scoring!$B$12,Scoring!$B$13,IF(W236&lt;=Scoring!$B$14,Scoring!$B$15,Scoring!$B$16))))</f>
        <v>1</v>
      </c>
      <c r="Y236" s="15" t="str">
        <f aca="false">IF($M236="","",ROUND((S236*Scoring!$B$6+U236*Scoring!$B$7)*IFERROR(INDEX(Scoring!$B$22:$B$24,MATCH($N236,Scoring!$A$22:$A$24,0)),1)+V236*Scoring!$B$8+X236,2))</f>
        <v/>
      </c>
      <c r="Z236" s="12" t="str">
        <f aca="false">IF($M236="","",IF(SUMPRODUCT(($M$5:$M$249=$M236)*($G$5:$G$249&gt;$G236))&gt;0,0,IF(SUMPRODUCT(($M$5:$M$249=$M236)*($G$5:$G$249=$G236)*(ROW($M$5:$M$249)&lt;ROW($M236)))&gt;0,0,1)))</f>
        <v/>
      </c>
      <c r="AA236" s="12" t="str">
        <f aca="false">IF($Z236=1,RANK($AE236,$AE$5:$AE$249,0),"")</f>
        <v/>
      </c>
      <c r="AB236" s="7" t="s">
        <v>153</v>
      </c>
      <c r="AC236" s="6" t="s">
        <v>154</v>
      </c>
      <c r="AD236" s="6"/>
      <c r="AE236" s="25" t="str">
        <f aca="false">IF($Z236=1,$Y236+$T236/1000000000-ROW()/10000000,"")</f>
        <v/>
      </c>
    </row>
    <row r="237" customFormat="false" ht="23.85" hidden="false" customHeight="false" outlineLevel="0" collapsed="false">
      <c r="A237" s="7" t="s">
        <v>1273</v>
      </c>
      <c r="B237" s="6" t="s">
        <v>1274</v>
      </c>
      <c r="C237" s="6" t="s">
        <v>1275</v>
      </c>
      <c r="D237" s="7" t="s">
        <v>1193</v>
      </c>
      <c r="E237" s="7" t="s">
        <v>1276</v>
      </c>
      <c r="F237" s="12" t="s">
        <v>147</v>
      </c>
      <c r="G237" s="13" t="n">
        <v>45675</v>
      </c>
      <c r="H237" s="7" t="s">
        <v>1277</v>
      </c>
      <c r="I237" s="6" t="s">
        <v>149</v>
      </c>
      <c r="J237" s="7" t="s">
        <v>60</v>
      </c>
      <c r="K237" s="12"/>
      <c r="L237" s="10" t="s">
        <v>1278</v>
      </c>
      <c r="M237" s="7"/>
      <c r="N237" s="12"/>
      <c r="O237" s="12" t="str">
        <f aca="false">IF($M237="","",IF(COUNTIFS('QC listings'!$A$5:$A$200,$M237,'QC listings'!$C$5:$C$200,O$4,'QC listings'!$F$5:$F$200,"Listing page")+COUNTIFS('QC listings'!$A$5:$A$200,$M237,'QC listings'!$C$5:$C$200,O$4,'QC listings'!$F$5:$F$200,"Brand page")&gt;0,"Y",IF(COUNTIFS('QC listings'!$A$5:$A$200,$M237,'QC listings'!$C$5:$C$200,O$4)&gt;0,"?","–")))</f>
        <v/>
      </c>
      <c r="P237" s="12" t="str">
        <f aca="false">IF($M237="","",IF(COUNTIFS('QC listings'!$A$5:$A$200,$M237,'QC listings'!$C$5:$C$200,P$4,'QC listings'!$F$5:$F$200,"Listing page")+COUNTIFS('QC listings'!$A$5:$A$200,$M237,'QC listings'!$C$5:$C$200,P$4,'QC listings'!$F$5:$F$200,"Brand page")&gt;0,"Y",IF(COUNTIFS('QC listings'!$A$5:$A$200,$M237,'QC listings'!$C$5:$C$200,P$4)&gt;0,"?","–")))</f>
        <v/>
      </c>
      <c r="Q237" s="12" t="str">
        <f aca="false">IF($M237="","",IF(COUNTIFS('QC listings'!$A$5:$A$200,$M237,'QC listings'!$C$5:$C$200,Q$4,'QC listings'!$F$5:$F$200,"Listing page")+COUNTIFS('QC listings'!$A$5:$A$200,$M237,'QC listings'!$C$5:$C$200,Q$4,'QC listings'!$F$5:$F$200,"Brand page")&gt;0,"Y",IF(COUNTIFS('QC listings'!$A$5:$A$200,$M237,'QC listings'!$C$5:$C$200,Q$4)&gt;0,"?","–")))</f>
        <v/>
      </c>
      <c r="R237" s="12" t="str">
        <f aca="false">IF($M237="","",IF(COUNTIFS('QC listings'!$A$5:$A$200,$M237,'QC listings'!$C$5:$C$200,R$4,'QC listings'!$F$5:$F$200,"Listing page")+COUNTIFS('QC listings'!$A$5:$A$200,$M237,'QC listings'!$C$5:$C$200,R$4,'QC listings'!$F$5:$F$200,"Brand page")&gt;0,"Y",IF(COUNTIFS('QC listings'!$A$5:$A$200,$M237,'QC listings'!$C$5:$C$200,R$4)&gt;0,"?","–")))</f>
        <v/>
      </c>
      <c r="S237" s="12" t="str">
        <f aca="false">IF($M237="","",COUNTIF(O237:R237,"Y"))</f>
        <v/>
      </c>
      <c r="T237" s="23" t="str">
        <f aca="false">IF($M237="","",SUMPRODUCT(MAX(('QC listings'!$A$5:$A$200=$M237)*'QC listings'!$E$5:$E$200)))</f>
        <v/>
      </c>
      <c r="U237" s="12" t="str">
        <f aca="false">IF($M237="","",IF(T237&gt;=Scoring!$B$11,3,IF(T237&gt;=Scoring!$B$10,2,IF(T237&gt;=Scoring!$B$9,1,0))))</f>
        <v/>
      </c>
      <c r="V237" s="12" t="n">
        <f aca="false">IFERROR(INDEX(Scoring!$B$27:$B$56,MATCH($E237,Scoring!$A$27:$A$56,0)),0)</f>
        <v>0</v>
      </c>
      <c r="W237" s="24" t="n">
        <f aca="false">IF($G237="","",ROUND((Scoring!$B$5-$G237)/30.4375,1))</f>
        <v>20.4</v>
      </c>
      <c r="X237" s="12" t="n">
        <f aca="false">IF($F237="Expired",Scoring!$B$18,IF($G237="",Scoring!$B$17,IF(W237&lt;=Scoring!$B$12,Scoring!$B$13,IF(W237&lt;=Scoring!$B$14,Scoring!$B$15,Scoring!$B$16))))</f>
        <v>1</v>
      </c>
      <c r="Y237" s="15" t="str">
        <f aca="false">IF($M237="","",ROUND((S237*Scoring!$B$6+U237*Scoring!$B$7)*IFERROR(INDEX(Scoring!$B$22:$B$24,MATCH($N237,Scoring!$A$22:$A$24,0)),1)+V237*Scoring!$B$8+X237,2))</f>
        <v/>
      </c>
      <c r="Z237" s="12" t="str">
        <f aca="false">IF($M237="","",IF(SUMPRODUCT(($M$5:$M$249=$M237)*($G$5:$G$249&gt;$G237))&gt;0,0,IF(SUMPRODUCT(($M$5:$M$249=$M237)*($G$5:$G$249=$G237)*(ROW($M$5:$M$249)&lt;ROW($M237)))&gt;0,0,1)))</f>
        <v/>
      </c>
      <c r="AA237" s="12" t="str">
        <f aca="false">IF($Z237=1,RANK($AE237,$AE$5:$AE$249,0),"")</f>
        <v/>
      </c>
      <c r="AB237" s="7" t="s">
        <v>153</v>
      </c>
      <c r="AC237" s="6" t="s">
        <v>154</v>
      </c>
      <c r="AD237" s="6"/>
      <c r="AE237" s="25" t="str">
        <f aca="false">IF($Z237=1,$Y237+$T237/1000000000-ROW()/10000000,"")</f>
        <v/>
      </c>
    </row>
    <row r="238" customFormat="false" ht="23.85" hidden="false" customHeight="false" outlineLevel="0" collapsed="false">
      <c r="A238" s="7" t="s">
        <v>1279</v>
      </c>
      <c r="B238" s="6" t="s">
        <v>1280</v>
      </c>
      <c r="C238" s="6" t="s">
        <v>1281</v>
      </c>
      <c r="D238" s="7" t="s">
        <v>1193</v>
      </c>
      <c r="E238" s="7" t="s">
        <v>1276</v>
      </c>
      <c r="F238" s="12" t="s">
        <v>158</v>
      </c>
      <c r="G238" s="13" t="n">
        <v>45810</v>
      </c>
      <c r="H238" s="7" t="s">
        <v>1282</v>
      </c>
      <c r="I238" s="6" t="s">
        <v>149</v>
      </c>
      <c r="J238" s="7" t="s">
        <v>60</v>
      </c>
      <c r="K238" s="12"/>
      <c r="L238" s="10" t="s">
        <v>1283</v>
      </c>
      <c r="M238" s="7"/>
      <c r="N238" s="12"/>
      <c r="O238" s="12" t="str">
        <f aca="false">IF($M238="","",IF(COUNTIFS('QC listings'!$A$5:$A$200,$M238,'QC listings'!$C$5:$C$200,O$4,'QC listings'!$F$5:$F$200,"Listing page")+COUNTIFS('QC listings'!$A$5:$A$200,$M238,'QC listings'!$C$5:$C$200,O$4,'QC listings'!$F$5:$F$200,"Brand page")&gt;0,"Y",IF(COUNTIFS('QC listings'!$A$5:$A$200,$M238,'QC listings'!$C$5:$C$200,O$4)&gt;0,"?","–")))</f>
        <v/>
      </c>
      <c r="P238" s="12" t="str">
        <f aca="false">IF($M238="","",IF(COUNTIFS('QC listings'!$A$5:$A$200,$M238,'QC listings'!$C$5:$C$200,P$4,'QC listings'!$F$5:$F$200,"Listing page")+COUNTIFS('QC listings'!$A$5:$A$200,$M238,'QC listings'!$C$5:$C$200,P$4,'QC listings'!$F$5:$F$200,"Brand page")&gt;0,"Y",IF(COUNTIFS('QC listings'!$A$5:$A$200,$M238,'QC listings'!$C$5:$C$200,P$4)&gt;0,"?","–")))</f>
        <v/>
      </c>
      <c r="Q238" s="12" t="str">
        <f aca="false">IF($M238="","",IF(COUNTIFS('QC listings'!$A$5:$A$200,$M238,'QC listings'!$C$5:$C$200,Q$4,'QC listings'!$F$5:$F$200,"Listing page")+COUNTIFS('QC listings'!$A$5:$A$200,$M238,'QC listings'!$C$5:$C$200,Q$4,'QC listings'!$F$5:$F$200,"Brand page")&gt;0,"Y",IF(COUNTIFS('QC listings'!$A$5:$A$200,$M238,'QC listings'!$C$5:$C$200,Q$4)&gt;0,"?","–")))</f>
        <v/>
      </c>
      <c r="R238" s="12" t="str">
        <f aca="false">IF($M238="","",IF(COUNTIFS('QC listings'!$A$5:$A$200,$M238,'QC listings'!$C$5:$C$200,R$4,'QC listings'!$F$5:$F$200,"Listing page")+COUNTIFS('QC listings'!$A$5:$A$200,$M238,'QC listings'!$C$5:$C$200,R$4,'QC listings'!$F$5:$F$200,"Brand page")&gt;0,"Y",IF(COUNTIFS('QC listings'!$A$5:$A$200,$M238,'QC listings'!$C$5:$C$200,R$4)&gt;0,"?","–")))</f>
        <v/>
      </c>
      <c r="S238" s="12" t="str">
        <f aca="false">IF($M238="","",COUNTIF(O238:R238,"Y"))</f>
        <v/>
      </c>
      <c r="T238" s="23" t="str">
        <f aca="false">IF($M238="","",SUMPRODUCT(MAX(('QC listings'!$A$5:$A$200=$M238)*'QC listings'!$E$5:$E$200)))</f>
        <v/>
      </c>
      <c r="U238" s="12" t="str">
        <f aca="false">IF($M238="","",IF(T238&gt;=Scoring!$B$11,3,IF(T238&gt;=Scoring!$B$10,2,IF(T238&gt;=Scoring!$B$9,1,0))))</f>
        <v/>
      </c>
      <c r="V238" s="12" t="n">
        <f aca="false">IFERROR(INDEX(Scoring!$B$27:$B$56,MATCH($E238,Scoring!$A$27:$A$56,0)),0)</f>
        <v>0</v>
      </c>
      <c r="W238" s="24" t="n">
        <f aca="false">IF($G238="","",ROUND((Scoring!$B$5-$G238)/30.4375,1))</f>
        <v>16</v>
      </c>
      <c r="X238" s="12" t="n">
        <f aca="false">IF($F238="Expired",Scoring!$B$18,IF($G238="",Scoring!$B$17,IF(W238&lt;=Scoring!$B$12,Scoring!$B$13,IF(W238&lt;=Scoring!$B$14,Scoring!$B$15,Scoring!$B$16))))</f>
        <v>1</v>
      </c>
      <c r="Y238" s="15" t="str">
        <f aca="false">IF($M238="","",ROUND((S238*Scoring!$B$6+U238*Scoring!$B$7)*IFERROR(INDEX(Scoring!$B$22:$B$24,MATCH($N238,Scoring!$A$22:$A$24,0)),1)+V238*Scoring!$B$8+X238,2))</f>
        <v/>
      </c>
      <c r="Z238" s="12" t="str">
        <f aca="false">IF($M238="","",IF(SUMPRODUCT(($M$5:$M$249=$M238)*($G$5:$G$249&gt;$G238))&gt;0,0,IF(SUMPRODUCT(($M$5:$M$249=$M238)*($G$5:$G$249=$G238)*(ROW($M$5:$M$249)&lt;ROW($M238)))&gt;0,0,1)))</f>
        <v/>
      </c>
      <c r="AA238" s="12" t="str">
        <f aca="false">IF($Z238=1,RANK($AE238,$AE$5:$AE$249,0),"")</f>
        <v/>
      </c>
      <c r="AB238" s="7" t="s">
        <v>153</v>
      </c>
      <c r="AC238" s="6" t="s">
        <v>162</v>
      </c>
      <c r="AD238" s="6"/>
      <c r="AE238" s="25" t="str">
        <f aca="false">IF($Z238=1,$Y238+$T238/1000000000-ROW()/10000000,"")</f>
        <v/>
      </c>
    </row>
    <row r="239" customFormat="false" ht="23.85" hidden="false" customHeight="false" outlineLevel="0" collapsed="false">
      <c r="A239" s="7" t="s">
        <v>1284</v>
      </c>
      <c r="B239" s="6" t="s">
        <v>1285</v>
      </c>
      <c r="C239" s="6" t="s">
        <v>1286</v>
      </c>
      <c r="D239" s="7" t="s">
        <v>1193</v>
      </c>
      <c r="E239" s="7" t="s">
        <v>1276</v>
      </c>
      <c r="F239" s="12" t="s">
        <v>1287</v>
      </c>
      <c r="G239" s="13" t="n">
        <v>45690</v>
      </c>
      <c r="H239" s="7" t="s">
        <v>1288</v>
      </c>
      <c r="I239" s="6" t="s">
        <v>149</v>
      </c>
      <c r="J239" s="7" t="s">
        <v>60</v>
      </c>
      <c r="K239" s="12"/>
      <c r="L239" s="10" t="s">
        <v>1289</v>
      </c>
      <c r="M239" s="7"/>
      <c r="N239" s="12"/>
      <c r="O239" s="12" t="str">
        <f aca="false">IF($M239="","",IF(COUNTIFS('QC listings'!$A$5:$A$200,$M239,'QC listings'!$C$5:$C$200,O$4,'QC listings'!$F$5:$F$200,"Listing page")+COUNTIFS('QC listings'!$A$5:$A$200,$M239,'QC listings'!$C$5:$C$200,O$4,'QC listings'!$F$5:$F$200,"Brand page")&gt;0,"Y",IF(COUNTIFS('QC listings'!$A$5:$A$200,$M239,'QC listings'!$C$5:$C$200,O$4)&gt;0,"?","–")))</f>
        <v/>
      </c>
      <c r="P239" s="12" t="str">
        <f aca="false">IF($M239="","",IF(COUNTIFS('QC listings'!$A$5:$A$200,$M239,'QC listings'!$C$5:$C$200,P$4,'QC listings'!$F$5:$F$200,"Listing page")+COUNTIFS('QC listings'!$A$5:$A$200,$M239,'QC listings'!$C$5:$C$200,P$4,'QC listings'!$F$5:$F$200,"Brand page")&gt;0,"Y",IF(COUNTIFS('QC listings'!$A$5:$A$200,$M239,'QC listings'!$C$5:$C$200,P$4)&gt;0,"?","–")))</f>
        <v/>
      </c>
      <c r="Q239" s="12" t="str">
        <f aca="false">IF($M239="","",IF(COUNTIFS('QC listings'!$A$5:$A$200,$M239,'QC listings'!$C$5:$C$200,Q$4,'QC listings'!$F$5:$F$200,"Listing page")+COUNTIFS('QC listings'!$A$5:$A$200,$M239,'QC listings'!$C$5:$C$200,Q$4,'QC listings'!$F$5:$F$200,"Brand page")&gt;0,"Y",IF(COUNTIFS('QC listings'!$A$5:$A$200,$M239,'QC listings'!$C$5:$C$200,Q$4)&gt;0,"?","–")))</f>
        <v/>
      </c>
      <c r="R239" s="12" t="str">
        <f aca="false">IF($M239="","",IF(COUNTIFS('QC listings'!$A$5:$A$200,$M239,'QC listings'!$C$5:$C$200,R$4,'QC listings'!$F$5:$F$200,"Listing page")+COUNTIFS('QC listings'!$A$5:$A$200,$M239,'QC listings'!$C$5:$C$200,R$4,'QC listings'!$F$5:$F$200,"Brand page")&gt;0,"Y",IF(COUNTIFS('QC listings'!$A$5:$A$200,$M239,'QC listings'!$C$5:$C$200,R$4)&gt;0,"?","–")))</f>
        <v/>
      </c>
      <c r="S239" s="12" t="str">
        <f aca="false">IF($M239="","",COUNTIF(O239:R239,"Y"))</f>
        <v/>
      </c>
      <c r="T239" s="23" t="str">
        <f aca="false">IF($M239="","",SUMPRODUCT(MAX(('QC listings'!$A$5:$A$200=$M239)*'QC listings'!$E$5:$E$200)))</f>
        <v/>
      </c>
      <c r="U239" s="12" t="str">
        <f aca="false">IF($M239="","",IF(T239&gt;=Scoring!$B$11,3,IF(T239&gt;=Scoring!$B$10,2,IF(T239&gt;=Scoring!$B$9,1,0))))</f>
        <v/>
      </c>
      <c r="V239" s="12" t="n">
        <f aca="false">IFERROR(INDEX(Scoring!$B$27:$B$56,MATCH($E239,Scoring!$A$27:$A$56,0)),0)</f>
        <v>0</v>
      </c>
      <c r="W239" s="24" t="n">
        <f aca="false">IF($G239="","",ROUND((Scoring!$B$5-$G239)/30.4375,1))</f>
        <v>19.9</v>
      </c>
      <c r="X239" s="12" t="n">
        <f aca="false">IF($F239="Expired",Scoring!$B$18,IF($G239="",Scoring!$B$17,IF(W239&lt;=Scoring!$B$12,Scoring!$B$13,IF(W239&lt;=Scoring!$B$14,Scoring!$B$15,Scoring!$B$16))))</f>
        <v>1</v>
      </c>
      <c r="Y239" s="15" t="str">
        <f aca="false">IF($M239="","",ROUND((S239*Scoring!$B$6+U239*Scoring!$B$7)*IFERROR(INDEX(Scoring!$B$22:$B$24,MATCH($N239,Scoring!$A$22:$A$24,0)),1)+V239*Scoring!$B$8+X239,2))</f>
        <v/>
      </c>
      <c r="Z239" s="12" t="str">
        <f aca="false">IF($M239="","",IF(SUMPRODUCT(($M$5:$M$249=$M239)*($G$5:$G$249&gt;$G239))&gt;0,0,IF(SUMPRODUCT(($M$5:$M$249=$M239)*($G$5:$G$249=$G239)*(ROW($M$5:$M$249)&lt;ROW($M239)))&gt;0,0,1)))</f>
        <v/>
      </c>
      <c r="AA239" s="12" t="str">
        <f aca="false">IF($Z239=1,RANK($AE239,$AE$5:$AE$249,0),"")</f>
        <v/>
      </c>
      <c r="AB239" s="7" t="s">
        <v>153</v>
      </c>
      <c r="AC239" s="6" t="s">
        <v>154</v>
      </c>
      <c r="AD239" s="6"/>
      <c r="AE239" s="25" t="str">
        <f aca="false">IF($Z239=1,$Y239+$T239/1000000000-ROW()/10000000,"")</f>
        <v/>
      </c>
    </row>
    <row r="240" customFormat="false" ht="23.85" hidden="false" customHeight="false" outlineLevel="0" collapsed="false">
      <c r="A240" s="7" t="s">
        <v>1290</v>
      </c>
      <c r="B240" s="6" t="s">
        <v>1291</v>
      </c>
      <c r="C240" s="6" t="s">
        <v>1292</v>
      </c>
      <c r="D240" s="7" t="s">
        <v>1193</v>
      </c>
      <c r="E240" s="7" t="s">
        <v>1276</v>
      </c>
      <c r="F240" s="12" t="s">
        <v>549</v>
      </c>
      <c r="G240" s="13" t="n">
        <v>45522</v>
      </c>
      <c r="H240" s="7" t="s">
        <v>1293</v>
      </c>
      <c r="I240" s="6" t="s">
        <v>149</v>
      </c>
      <c r="J240" s="7" t="s">
        <v>60</v>
      </c>
      <c r="K240" s="12"/>
      <c r="L240" s="10" t="s">
        <v>1294</v>
      </c>
      <c r="M240" s="7"/>
      <c r="N240" s="12"/>
      <c r="O240" s="12" t="str">
        <f aca="false">IF($M240="","",IF(COUNTIFS('QC listings'!$A$5:$A$200,$M240,'QC listings'!$C$5:$C$200,O$4,'QC listings'!$F$5:$F$200,"Listing page")+COUNTIFS('QC listings'!$A$5:$A$200,$M240,'QC listings'!$C$5:$C$200,O$4,'QC listings'!$F$5:$F$200,"Brand page")&gt;0,"Y",IF(COUNTIFS('QC listings'!$A$5:$A$200,$M240,'QC listings'!$C$5:$C$200,O$4)&gt;0,"?","–")))</f>
        <v/>
      </c>
      <c r="P240" s="12" t="str">
        <f aca="false">IF($M240="","",IF(COUNTIFS('QC listings'!$A$5:$A$200,$M240,'QC listings'!$C$5:$C$200,P$4,'QC listings'!$F$5:$F$200,"Listing page")+COUNTIFS('QC listings'!$A$5:$A$200,$M240,'QC listings'!$C$5:$C$200,P$4,'QC listings'!$F$5:$F$200,"Brand page")&gt;0,"Y",IF(COUNTIFS('QC listings'!$A$5:$A$200,$M240,'QC listings'!$C$5:$C$200,P$4)&gt;0,"?","–")))</f>
        <v/>
      </c>
      <c r="Q240" s="12" t="str">
        <f aca="false">IF($M240="","",IF(COUNTIFS('QC listings'!$A$5:$A$200,$M240,'QC listings'!$C$5:$C$200,Q$4,'QC listings'!$F$5:$F$200,"Listing page")+COUNTIFS('QC listings'!$A$5:$A$200,$M240,'QC listings'!$C$5:$C$200,Q$4,'QC listings'!$F$5:$F$200,"Brand page")&gt;0,"Y",IF(COUNTIFS('QC listings'!$A$5:$A$200,$M240,'QC listings'!$C$5:$C$200,Q$4)&gt;0,"?","–")))</f>
        <v/>
      </c>
      <c r="R240" s="12" t="str">
        <f aca="false">IF($M240="","",IF(COUNTIFS('QC listings'!$A$5:$A$200,$M240,'QC listings'!$C$5:$C$200,R$4,'QC listings'!$F$5:$F$200,"Listing page")+COUNTIFS('QC listings'!$A$5:$A$200,$M240,'QC listings'!$C$5:$C$200,R$4,'QC listings'!$F$5:$F$200,"Brand page")&gt;0,"Y",IF(COUNTIFS('QC listings'!$A$5:$A$200,$M240,'QC listings'!$C$5:$C$200,R$4)&gt;0,"?","–")))</f>
        <v/>
      </c>
      <c r="S240" s="12" t="str">
        <f aca="false">IF($M240="","",COUNTIF(O240:R240,"Y"))</f>
        <v/>
      </c>
      <c r="T240" s="23" t="str">
        <f aca="false">IF($M240="","",SUMPRODUCT(MAX(('QC listings'!$A$5:$A$200=$M240)*'QC listings'!$E$5:$E$200)))</f>
        <v/>
      </c>
      <c r="U240" s="12" t="str">
        <f aca="false">IF($M240="","",IF(T240&gt;=Scoring!$B$11,3,IF(T240&gt;=Scoring!$B$10,2,IF(T240&gt;=Scoring!$B$9,1,0))))</f>
        <v/>
      </c>
      <c r="V240" s="12" t="n">
        <f aca="false">IFERROR(INDEX(Scoring!$B$27:$B$56,MATCH($E240,Scoring!$A$27:$A$56,0)),0)</f>
        <v>0</v>
      </c>
      <c r="W240" s="24" t="n">
        <f aca="false">IF($G240="","",ROUND((Scoring!$B$5-$G240)/30.4375,1))</f>
        <v>25.5</v>
      </c>
      <c r="X240" s="12" t="n">
        <f aca="false">IF($F240="Expired",Scoring!$B$18,IF($G240="",Scoring!$B$17,IF(W240&lt;=Scoring!$B$12,Scoring!$B$13,IF(W240&lt;=Scoring!$B$14,Scoring!$B$15,Scoring!$B$16))))</f>
        <v>0</v>
      </c>
      <c r="Y240" s="15" t="str">
        <f aca="false">IF($M240="","",ROUND((S240*Scoring!$B$6+U240*Scoring!$B$7)*IFERROR(INDEX(Scoring!$B$22:$B$24,MATCH($N240,Scoring!$A$22:$A$24,0)),1)+V240*Scoring!$B$8+X240,2))</f>
        <v/>
      </c>
      <c r="Z240" s="12" t="str">
        <f aca="false">IF($M240="","",IF(SUMPRODUCT(($M$5:$M$249=$M240)*($G$5:$G$249&gt;$G240))&gt;0,0,IF(SUMPRODUCT(($M$5:$M$249=$M240)*($G$5:$G$249=$G240)*(ROW($M$5:$M$249)&lt;ROW($M240)))&gt;0,0,1)))</f>
        <v/>
      </c>
      <c r="AA240" s="12" t="str">
        <f aca="false">IF($Z240=1,RANK($AE240,$AE$5:$AE$249,0),"")</f>
        <v/>
      </c>
      <c r="AB240" s="7" t="s">
        <v>153</v>
      </c>
      <c r="AC240" s="6" t="s">
        <v>642</v>
      </c>
      <c r="AD240" s="6"/>
      <c r="AE240" s="25" t="str">
        <f aca="false">IF($Z240=1,$Y240+$T240/1000000000-ROW()/10000000,"")</f>
        <v/>
      </c>
    </row>
    <row r="241" customFormat="false" ht="23.85" hidden="false" customHeight="false" outlineLevel="0" collapsed="false">
      <c r="A241" s="7" t="s">
        <v>1295</v>
      </c>
      <c r="B241" s="6" t="s">
        <v>1296</v>
      </c>
      <c r="C241" s="6" t="s">
        <v>1297</v>
      </c>
      <c r="D241" s="7" t="s">
        <v>1193</v>
      </c>
      <c r="E241" s="7" t="s">
        <v>1276</v>
      </c>
      <c r="F241" s="12" t="s">
        <v>147</v>
      </c>
      <c r="G241" s="13" t="n">
        <v>45696</v>
      </c>
      <c r="H241" s="7" t="s">
        <v>1298</v>
      </c>
      <c r="I241" s="6" t="s">
        <v>149</v>
      </c>
      <c r="J241" s="7" t="s">
        <v>60</v>
      </c>
      <c r="K241" s="12"/>
      <c r="L241" s="10" t="s">
        <v>1299</v>
      </c>
      <c r="M241" s="7"/>
      <c r="N241" s="12"/>
      <c r="O241" s="12" t="str">
        <f aca="false">IF($M241="","",IF(COUNTIFS('QC listings'!$A$5:$A$200,$M241,'QC listings'!$C$5:$C$200,O$4,'QC listings'!$F$5:$F$200,"Listing page")+COUNTIFS('QC listings'!$A$5:$A$200,$M241,'QC listings'!$C$5:$C$200,O$4,'QC listings'!$F$5:$F$200,"Brand page")&gt;0,"Y",IF(COUNTIFS('QC listings'!$A$5:$A$200,$M241,'QC listings'!$C$5:$C$200,O$4)&gt;0,"?","–")))</f>
        <v/>
      </c>
      <c r="P241" s="12" t="str">
        <f aca="false">IF($M241="","",IF(COUNTIFS('QC listings'!$A$5:$A$200,$M241,'QC listings'!$C$5:$C$200,P$4,'QC listings'!$F$5:$F$200,"Listing page")+COUNTIFS('QC listings'!$A$5:$A$200,$M241,'QC listings'!$C$5:$C$200,P$4,'QC listings'!$F$5:$F$200,"Brand page")&gt;0,"Y",IF(COUNTIFS('QC listings'!$A$5:$A$200,$M241,'QC listings'!$C$5:$C$200,P$4)&gt;0,"?","–")))</f>
        <v/>
      </c>
      <c r="Q241" s="12" t="str">
        <f aca="false">IF($M241="","",IF(COUNTIFS('QC listings'!$A$5:$A$200,$M241,'QC listings'!$C$5:$C$200,Q$4,'QC listings'!$F$5:$F$200,"Listing page")+COUNTIFS('QC listings'!$A$5:$A$200,$M241,'QC listings'!$C$5:$C$200,Q$4,'QC listings'!$F$5:$F$200,"Brand page")&gt;0,"Y",IF(COUNTIFS('QC listings'!$A$5:$A$200,$M241,'QC listings'!$C$5:$C$200,Q$4)&gt;0,"?","–")))</f>
        <v/>
      </c>
      <c r="R241" s="12" t="str">
        <f aca="false">IF($M241="","",IF(COUNTIFS('QC listings'!$A$5:$A$200,$M241,'QC listings'!$C$5:$C$200,R$4,'QC listings'!$F$5:$F$200,"Listing page")+COUNTIFS('QC listings'!$A$5:$A$200,$M241,'QC listings'!$C$5:$C$200,R$4,'QC listings'!$F$5:$F$200,"Brand page")&gt;0,"Y",IF(COUNTIFS('QC listings'!$A$5:$A$200,$M241,'QC listings'!$C$5:$C$200,R$4)&gt;0,"?","–")))</f>
        <v/>
      </c>
      <c r="S241" s="12" t="str">
        <f aca="false">IF($M241="","",COUNTIF(O241:R241,"Y"))</f>
        <v/>
      </c>
      <c r="T241" s="23" t="str">
        <f aca="false">IF($M241="","",SUMPRODUCT(MAX(('QC listings'!$A$5:$A$200=$M241)*'QC listings'!$E$5:$E$200)))</f>
        <v/>
      </c>
      <c r="U241" s="12" t="str">
        <f aca="false">IF($M241="","",IF(T241&gt;=Scoring!$B$11,3,IF(T241&gt;=Scoring!$B$10,2,IF(T241&gt;=Scoring!$B$9,1,0))))</f>
        <v/>
      </c>
      <c r="V241" s="12" t="n">
        <f aca="false">IFERROR(INDEX(Scoring!$B$27:$B$56,MATCH($E241,Scoring!$A$27:$A$56,0)),0)</f>
        <v>0</v>
      </c>
      <c r="W241" s="24" t="n">
        <f aca="false">IF($G241="","",ROUND((Scoring!$B$5-$G241)/30.4375,1))</f>
        <v>19.7</v>
      </c>
      <c r="X241" s="12" t="n">
        <f aca="false">IF($F241="Expired",Scoring!$B$18,IF($G241="",Scoring!$B$17,IF(W241&lt;=Scoring!$B$12,Scoring!$B$13,IF(W241&lt;=Scoring!$B$14,Scoring!$B$15,Scoring!$B$16))))</f>
        <v>1</v>
      </c>
      <c r="Y241" s="15" t="str">
        <f aca="false">IF($M241="","",ROUND((S241*Scoring!$B$6+U241*Scoring!$B$7)*IFERROR(INDEX(Scoring!$B$22:$B$24,MATCH($N241,Scoring!$A$22:$A$24,0)),1)+V241*Scoring!$B$8+X241,2))</f>
        <v/>
      </c>
      <c r="Z241" s="12" t="str">
        <f aca="false">IF($M241="","",IF(SUMPRODUCT(($M$5:$M$249=$M241)*($G$5:$G$249&gt;$G241))&gt;0,0,IF(SUMPRODUCT(($M$5:$M$249=$M241)*($G$5:$G$249=$G241)*(ROW($M$5:$M$249)&lt;ROW($M241)))&gt;0,0,1)))</f>
        <v/>
      </c>
      <c r="AA241" s="12" t="str">
        <f aca="false">IF($Z241=1,RANK($AE241,$AE$5:$AE$249,0),"")</f>
        <v/>
      </c>
      <c r="AB241" s="7" t="s">
        <v>153</v>
      </c>
      <c r="AC241" s="6" t="s">
        <v>154</v>
      </c>
      <c r="AD241" s="6"/>
      <c r="AE241" s="25" t="str">
        <f aca="false">IF($Z241=1,$Y241+$T241/1000000000-ROW()/10000000,"")</f>
        <v/>
      </c>
    </row>
    <row r="242" customFormat="false" ht="23.85" hidden="false" customHeight="false" outlineLevel="0" collapsed="false">
      <c r="A242" s="7" t="s">
        <v>1300</v>
      </c>
      <c r="B242" s="6" t="s">
        <v>1301</v>
      </c>
      <c r="C242" s="6" t="s">
        <v>1302</v>
      </c>
      <c r="D242" s="7" t="s">
        <v>1193</v>
      </c>
      <c r="E242" s="7" t="s">
        <v>1276</v>
      </c>
      <c r="F242" s="12" t="s">
        <v>158</v>
      </c>
      <c r="G242" s="13" t="n">
        <v>45689</v>
      </c>
      <c r="H242" s="7" t="s">
        <v>1303</v>
      </c>
      <c r="I242" s="6" t="s">
        <v>149</v>
      </c>
      <c r="J242" s="7" t="s">
        <v>60</v>
      </c>
      <c r="K242" s="12"/>
      <c r="L242" s="10" t="s">
        <v>1304</v>
      </c>
      <c r="M242" s="7"/>
      <c r="N242" s="12"/>
      <c r="O242" s="12" t="str">
        <f aca="false">IF($M242="","",IF(COUNTIFS('QC listings'!$A$5:$A$200,$M242,'QC listings'!$C$5:$C$200,O$4,'QC listings'!$F$5:$F$200,"Listing page")+COUNTIFS('QC listings'!$A$5:$A$200,$M242,'QC listings'!$C$5:$C$200,O$4,'QC listings'!$F$5:$F$200,"Brand page")&gt;0,"Y",IF(COUNTIFS('QC listings'!$A$5:$A$200,$M242,'QC listings'!$C$5:$C$200,O$4)&gt;0,"?","–")))</f>
        <v/>
      </c>
      <c r="P242" s="12" t="str">
        <f aca="false">IF($M242="","",IF(COUNTIFS('QC listings'!$A$5:$A$200,$M242,'QC listings'!$C$5:$C$200,P$4,'QC listings'!$F$5:$F$200,"Listing page")+COUNTIFS('QC listings'!$A$5:$A$200,$M242,'QC listings'!$C$5:$C$200,P$4,'QC listings'!$F$5:$F$200,"Brand page")&gt;0,"Y",IF(COUNTIFS('QC listings'!$A$5:$A$200,$M242,'QC listings'!$C$5:$C$200,P$4)&gt;0,"?","–")))</f>
        <v/>
      </c>
      <c r="Q242" s="12" t="str">
        <f aca="false">IF($M242="","",IF(COUNTIFS('QC listings'!$A$5:$A$200,$M242,'QC listings'!$C$5:$C$200,Q$4,'QC listings'!$F$5:$F$200,"Listing page")+COUNTIFS('QC listings'!$A$5:$A$200,$M242,'QC listings'!$C$5:$C$200,Q$4,'QC listings'!$F$5:$F$200,"Brand page")&gt;0,"Y",IF(COUNTIFS('QC listings'!$A$5:$A$200,$M242,'QC listings'!$C$5:$C$200,Q$4)&gt;0,"?","–")))</f>
        <v/>
      </c>
      <c r="R242" s="12" t="str">
        <f aca="false">IF($M242="","",IF(COUNTIFS('QC listings'!$A$5:$A$200,$M242,'QC listings'!$C$5:$C$200,R$4,'QC listings'!$F$5:$F$200,"Listing page")+COUNTIFS('QC listings'!$A$5:$A$200,$M242,'QC listings'!$C$5:$C$200,R$4,'QC listings'!$F$5:$F$200,"Brand page")&gt;0,"Y",IF(COUNTIFS('QC listings'!$A$5:$A$200,$M242,'QC listings'!$C$5:$C$200,R$4)&gt;0,"?","–")))</f>
        <v/>
      </c>
      <c r="S242" s="12" t="str">
        <f aca="false">IF($M242="","",COUNTIF(O242:R242,"Y"))</f>
        <v/>
      </c>
      <c r="T242" s="23" t="str">
        <f aca="false">IF($M242="","",SUMPRODUCT(MAX(('QC listings'!$A$5:$A$200=$M242)*'QC listings'!$E$5:$E$200)))</f>
        <v/>
      </c>
      <c r="U242" s="12" t="str">
        <f aca="false">IF($M242="","",IF(T242&gt;=Scoring!$B$11,3,IF(T242&gt;=Scoring!$B$10,2,IF(T242&gt;=Scoring!$B$9,1,0))))</f>
        <v/>
      </c>
      <c r="V242" s="12" t="n">
        <f aca="false">IFERROR(INDEX(Scoring!$B$27:$B$56,MATCH($E242,Scoring!$A$27:$A$56,0)),0)</f>
        <v>0</v>
      </c>
      <c r="W242" s="24" t="n">
        <f aca="false">IF($G242="","",ROUND((Scoring!$B$5-$G242)/30.4375,1))</f>
        <v>20</v>
      </c>
      <c r="X242" s="12" t="n">
        <f aca="false">IF($F242="Expired",Scoring!$B$18,IF($G242="",Scoring!$B$17,IF(W242&lt;=Scoring!$B$12,Scoring!$B$13,IF(W242&lt;=Scoring!$B$14,Scoring!$B$15,Scoring!$B$16))))</f>
        <v>1</v>
      </c>
      <c r="Y242" s="15" t="str">
        <f aca="false">IF($M242="","",ROUND((S242*Scoring!$B$6+U242*Scoring!$B$7)*IFERROR(INDEX(Scoring!$B$22:$B$24,MATCH($N242,Scoring!$A$22:$A$24,0)),1)+V242*Scoring!$B$8+X242,2))</f>
        <v/>
      </c>
      <c r="Z242" s="12" t="str">
        <f aca="false">IF($M242="","",IF(SUMPRODUCT(($M$5:$M$249=$M242)*($G$5:$G$249&gt;$G242))&gt;0,0,IF(SUMPRODUCT(($M$5:$M$249=$M242)*($G$5:$G$249=$G242)*(ROW($M$5:$M$249)&lt;ROW($M242)))&gt;0,0,1)))</f>
        <v/>
      </c>
      <c r="AA242" s="12" t="str">
        <f aca="false">IF($Z242=1,RANK($AE242,$AE$5:$AE$249,0),"")</f>
        <v/>
      </c>
      <c r="AB242" s="7" t="s">
        <v>153</v>
      </c>
      <c r="AC242" s="6" t="s">
        <v>162</v>
      </c>
      <c r="AD242" s="6"/>
      <c r="AE242" s="25" t="str">
        <f aca="false">IF($Z242=1,$Y242+$T242/1000000000-ROW()/10000000,"")</f>
        <v/>
      </c>
    </row>
    <row r="243" customFormat="false" ht="23.85" hidden="false" customHeight="false" outlineLevel="0" collapsed="false">
      <c r="A243" s="7" t="s">
        <v>1305</v>
      </c>
      <c r="B243" s="6" t="s">
        <v>1306</v>
      </c>
      <c r="C243" s="6" t="s">
        <v>1307</v>
      </c>
      <c r="D243" s="7" t="s">
        <v>1308</v>
      </c>
      <c r="E243" s="7" t="s">
        <v>1309</v>
      </c>
      <c r="F243" s="12" t="s">
        <v>158</v>
      </c>
      <c r="G243" s="13" t="n">
        <v>45971</v>
      </c>
      <c r="H243" s="7" t="s">
        <v>1310</v>
      </c>
      <c r="I243" s="6" t="s">
        <v>149</v>
      </c>
      <c r="J243" s="7" t="s">
        <v>60</v>
      </c>
      <c r="K243" s="12"/>
      <c r="L243" s="10" t="s">
        <v>1311</v>
      </c>
      <c r="M243" s="7"/>
      <c r="N243" s="12"/>
      <c r="O243" s="12" t="str">
        <f aca="false">IF($M243="","",IF(COUNTIFS('QC listings'!$A$5:$A$200,$M243,'QC listings'!$C$5:$C$200,O$4,'QC listings'!$F$5:$F$200,"Listing page")+COUNTIFS('QC listings'!$A$5:$A$200,$M243,'QC listings'!$C$5:$C$200,O$4,'QC listings'!$F$5:$F$200,"Brand page")&gt;0,"Y",IF(COUNTIFS('QC listings'!$A$5:$A$200,$M243,'QC listings'!$C$5:$C$200,O$4)&gt;0,"?","–")))</f>
        <v/>
      </c>
      <c r="P243" s="12" t="str">
        <f aca="false">IF($M243="","",IF(COUNTIFS('QC listings'!$A$5:$A$200,$M243,'QC listings'!$C$5:$C$200,P$4,'QC listings'!$F$5:$F$200,"Listing page")+COUNTIFS('QC listings'!$A$5:$A$200,$M243,'QC listings'!$C$5:$C$200,P$4,'QC listings'!$F$5:$F$200,"Brand page")&gt;0,"Y",IF(COUNTIFS('QC listings'!$A$5:$A$200,$M243,'QC listings'!$C$5:$C$200,P$4)&gt;0,"?","–")))</f>
        <v/>
      </c>
      <c r="Q243" s="12" t="str">
        <f aca="false">IF($M243="","",IF(COUNTIFS('QC listings'!$A$5:$A$200,$M243,'QC listings'!$C$5:$C$200,Q$4,'QC listings'!$F$5:$F$200,"Listing page")+COUNTIFS('QC listings'!$A$5:$A$200,$M243,'QC listings'!$C$5:$C$200,Q$4,'QC listings'!$F$5:$F$200,"Brand page")&gt;0,"Y",IF(COUNTIFS('QC listings'!$A$5:$A$200,$M243,'QC listings'!$C$5:$C$200,Q$4)&gt;0,"?","–")))</f>
        <v/>
      </c>
      <c r="R243" s="12" t="str">
        <f aca="false">IF($M243="","",IF(COUNTIFS('QC listings'!$A$5:$A$200,$M243,'QC listings'!$C$5:$C$200,R$4,'QC listings'!$F$5:$F$200,"Listing page")+COUNTIFS('QC listings'!$A$5:$A$200,$M243,'QC listings'!$C$5:$C$200,R$4,'QC listings'!$F$5:$F$200,"Brand page")&gt;0,"Y",IF(COUNTIFS('QC listings'!$A$5:$A$200,$M243,'QC listings'!$C$5:$C$200,R$4)&gt;0,"?","–")))</f>
        <v/>
      </c>
      <c r="S243" s="12" t="str">
        <f aca="false">IF($M243="","",COUNTIF(O243:R243,"Y"))</f>
        <v/>
      </c>
      <c r="T243" s="23" t="str">
        <f aca="false">IF($M243="","",SUMPRODUCT(MAX(('QC listings'!$A$5:$A$200=$M243)*'QC listings'!$E$5:$E$200)))</f>
        <v/>
      </c>
      <c r="U243" s="12" t="str">
        <f aca="false">IF($M243="","",IF(T243&gt;=Scoring!$B$11,3,IF(T243&gt;=Scoring!$B$10,2,IF(T243&gt;=Scoring!$B$9,1,0))))</f>
        <v/>
      </c>
      <c r="V243" s="12" t="n">
        <f aca="false">IFERROR(INDEX(Scoring!$B$27:$B$56,MATCH($E243,Scoring!$A$27:$A$56,0)),0)</f>
        <v>0</v>
      </c>
      <c r="W243" s="24" t="n">
        <f aca="false">IF($G243="","",ROUND((Scoring!$B$5-$G243)/30.4375,1))</f>
        <v>10.7</v>
      </c>
      <c r="X243" s="12" t="n">
        <f aca="false">IF($F243="Expired",Scoring!$B$18,IF($G243="",Scoring!$B$17,IF(W243&lt;=Scoring!$B$12,Scoring!$B$13,IF(W243&lt;=Scoring!$B$14,Scoring!$B$15,Scoring!$B$16))))</f>
        <v>2</v>
      </c>
      <c r="Y243" s="15" t="str">
        <f aca="false">IF($M243="","",ROUND((S243*Scoring!$B$6+U243*Scoring!$B$7)*IFERROR(INDEX(Scoring!$B$22:$B$24,MATCH($N243,Scoring!$A$22:$A$24,0)),1)+V243*Scoring!$B$8+X243,2))</f>
        <v/>
      </c>
      <c r="Z243" s="12" t="str">
        <f aca="false">IF($M243="","",IF(SUMPRODUCT(($M$5:$M$249=$M243)*($G$5:$G$249&gt;$G243))&gt;0,0,IF(SUMPRODUCT(($M$5:$M$249=$M243)*($G$5:$G$249=$G243)*(ROW($M$5:$M$249)&lt;ROW($M243)))&gt;0,0,1)))</f>
        <v/>
      </c>
      <c r="AA243" s="12" t="str">
        <f aca="false">IF($Z243=1,RANK($AE243,$AE$5:$AE$249,0),"")</f>
        <v/>
      </c>
      <c r="AB243" s="7" t="s">
        <v>153</v>
      </c>
      <c r="AC243" s="6" t="s">
        <v>162</v>
      </c>
      <c r="AD243" s="6"/>
      <c r="AE243" s="25" t="str">
        <f aca="false">IF($Z243=1,$Y243+$T243/1000000000-ROW()/10000000,"")</f>
        <v/>
      </c>
    </row>
    <row r="244" customFormat="false" ht="23.85" hidden="false" customHeight="false" outlineLevel="0" collapsed="false">
      <c r="A244" s="7" t="s">
        <v>1312</v>
      </c>
      <c r="B244" s="6" t="s">
        <v>1313</v>
      </c>
      <c r="C244" s="6" t="s">
        <v>1314</v>
      </c>
      <c r="D244" s="7" t="s">
        <v>1308</v>
      </c>
      <c r="E244" s="7" t="s">
        <v>1315</v>
      </c>
      <c r="F244" s="12" t="s">
        <v>158</v>
      </c>
      <c r="G244" s="13" t="n">
        <v>45697</v>
      </c>
      <c r="H244" s="7" t="s">
        <v>1316</v>
      </c>
      <c r="I244" s="6" t="s">
        <v>149</v>
      </c>
      <c r="J244" s="7" t="s">
        <v>60</v>
      </c>
      <c r="K244" s="12"/>
      <c r="L244" s="10" t="s">
        <v>1317</v>
      </c>
      <c r="M244" s="7"/>
      <c r="N244" s="12"/>
      <c r="O244" s="12" t="str">
        <f aca="false">IF($M244="","",IF(COUNTIFS('QC listings'!$A$5:$A$200,$M244,'QC listings'!$C$5:$C$200,O$4,'QC listings'!$F$5:$F$200,"Listing page")+COUNTIFS('QC listings'!$A$5:$A$200,$M244,'QC listings'!$C$5:$C$200,O$4,'QC listings'!$F$5:$F$200,"Brand page")&gt;0,"Y",IF(COUNTIFS('QC listings'!$A$5:$A$200,$M244,'QC listings'!$C$5:$C$200,O$4)&gt;0,"?","–")))</f>
        <v/>
      </c>
      <c r="P244" s="12" t="str">
        <f aca="false">IF($M244="","",IF(COUNTIFS('QC listings'!$A$5:$A$200,$M244,'QC listings'!$C$5:$C$200,P$4,'QC listings'!$F$5:$F$200,"Listing page")+COUNTIFS('QC listings'!$A$5:$A$200,$M244,'QC listings'!$C$5:$C$200,P$4,'QC listings'!$F$5:$F$200,"Brand page")&gt;0,"Y",IF(COUNTIFS('QC listings'!$A$5:$A$200,$M244,'QC listings'!$C$5:$C$200,P$4)&gt;0,"?","–")))</f>
        <v/>
      </c>
      <c r="Q244" s="12" t="str">
        <f aca="false">IF($M244="","",IF(COUNTIFS('QC listings'!$A$5:$A$200,$M244,'QC listings'!$C$5:$C$200,Q$4,'QC listings'!$F$5:$F$200,"Listing page")+COUNTIFS('QC listings'!$A$5:$A$200,$M244,'QC listings'!$C$5:$C$200,Q$4,'QC listings'!$F$5:$F$200,"Brand page")&gt;0,"Y",IF(COUNTIFS('QC listings'!$A$5:$A$200,$M244,'QC listings'!$C$5:$C$200,Q$4)&gt;0,"?","–")))</f>
        <v/>
      </c>
      <c r="R244" s="12" t="str">
        <f aca="false">IF($M244="","",IF(COUNTIFS('QC listings'!$A$5:$A$200,$M244,'QC listings'!$C$5:$C$200,R$4,'QC listings'!$F$5:$F$200,"Listing page")+COUNTIFS('QC listings'!$A$5:$A$200,$M244,'QC listings'!$C$5:$C$200,R$4,'QC listings'!$F$5:$F$200,"Brand page")&gt;0,"Y",IF(COUNTIFS('QC listings'!$A$5:$A$200,$M244,'QC listings'!$C$5:$C$200,R$4)&gt;0,"?","–")))</f>
        <v/>
      </c>
      <c r="S244" s="12" t="str">
        <f aca="false">IF($M244="","",COUNTIF(O244:R244,"Y"))</f>
        <v/>
      </c>
      <c r="T244" s="23" t="str">
        <f aca="false">IF($M244="","",SUMPRODUCT(MAX(('QC listings'!$A$5:$A$200=$M244)*'QC listings'!$E$5:$E$200)))</f>
        <v/>
      </c>
      <c r="U244" s="12" t="str">
        <f aca="false">IF($M244="","",IF(T244&gt;=Scoring!$B$11,3,IF(T244&gt;=Scoring!$B$10,2,IF(T244&gt;=Scoring!$B$9,1,0))))</f>
        <v/>
      </c>
      <c r="V244" s="12" t="n">
        <f aca="false">IFERROR(INDEX(Scoring!$B$27:$B$56,MATCH($E244,Scoring!$A$27:$A$56,0)),0)</f>
        <v>0</v>
      </c>
      <c r="W244" s="24" t="n">
        <f aca="false">IF($G244="","",ROUND((Scoring!$B$5-$G244)/30.4375,1))</f>
        <v>19.7</v>
      </c>
      <c r="X244" s="12" t="n">
        <f aca="false">IF($F244="Expired",Scoring!$B$18,IF($G244="",Scoring!$B$17,IF(W244&lt;=Scoring!$B$12,Scoring!$B$13,IF(W244&lt;=Scoring!$B$14,Scoring!$B$15,Scoring!$B$16))))</f>
        <v>1</v>
      </c>
      <c r="Y244" s="15" t="str">
        <f aca="false">IF($M244="","",ROUND((S244*Scoring!$B$6+U244*Scoring!$B$7)*IFERROR(INDEX(Scoring!$B$22:$B$24,MATCH($N244,Scoring!$A$22:$A$24,0)),1)+V244*Scoring!$B$8+X244,2))</f>
        <v/>
      </c>
      <c r="Z244" s="12" t="str">
        <f aca="false">IF($M244="","",IF(SUMPRODUCT(($M$5:$M$249=$M244)*($G$5:$G$249&gt;$G244))&gt;0,0,IF(SUMPRODUCT(($M$5:$M$249=$M244)*($G$5:$G$249=$G244)*(ROW($M$5:$M$249)&lt;ROW($M244)))&gt;0,0,1)))</f>
        <v/>
      </c>
      <c r="AA244" s="12" t="str">
        <f aca="false">IF($Z244=1,RANK($AE244,$AE$5:$AE$249,0),"")</f>
        <v/>
      </c>
      <c r="AB244" s="7" t="s">
        <v>153</v>
      </c>
      <c r="AC244" s="6" t="s">
        <v>162</v>
      </c>
      <c r="AD244" s="6"/>
      <c r="AE244" s="25" t="str">
        <f aca="false">IF($Z244=1,$Y244+$T244/1000000000-ROW()/10000000,"")</f>
        <v/>
      </c>
    </row>
    <row r="245" customFormat="false" ht="23.85" hidden="false" customHeight="false" outlineLevel="0" collapsed="false">
      <c r="A245" s="7" t="s">
        <v>1318</v>
      </c>
      <c r="B245" s="6" t="s">
        <v>1319</v>
      </c>
      <c r="C245" s="6" t="s">
        <v>1320</v>
      </c>
      <c r="D245" s="7" t="s">
        <v>1308</v>
      </c>
      <c r="E245" s="7" t="s">
        <v>1315</v>
      </c>
      <c r="F245" s="12" t="s">
        <v>158</v>
      </c>
      <c r="G245" s="13" t="n">
        <v>46181</v>
      </c>
      <c r="H245" s="7" t="s">
        <v>1321</v>
      </c>
      <c r="I245" s="6" t="s">
        <v>149</v>
      </c>
      <c r="J245" s="7" t="s">
        <v>60</v>
      </c>
      <c r="K245" s="12"/>
      <c r="L245" s="10" t="s">
        <v>1322</v>
      </c>
      <c r="M245" s="7"/>
      <c r="N245" s="12"/>
      <c r="O245" s="12" t="str">
        <f aca="false">IF($M245="","",IF(COUNTIFS('QC listings'!$A$5:$A$200,$M245,'QC listings'!$C$5:$C$200,O$4,'QC listings'!$F$5:$F$200,"Listing page")+COUNTIFS('QC listings'!$A$5:$A$200,$M245,'QC listings'!$C$5:$C$200,O$4,'QC listings'!$F$5:$F$200,"Brand page")&gt;0,"Y",IF(COUNTIFS('QC listings'!$A$5:$A$200,$M245,'QC listings'!$C$5:$C$200,O$4)&gt;0,"?","–")))</f>
        <v/>
      </c>
      <c r="P245" s="12" t="str">
        <f aca="false">IF($M245="","",IF(COUNTIFS('QC listings'!$A$5:$A$200,$M245,'QC listings'!$C$5:$C$200,P$4,'QC listings'!$F$5:$F$200,"Listing page")+COUNTIFS('QC listings'!$A$5:$A$200,$M245,'QC listings'!$C$5:$C$200,P$4,'QC listings'!$F$5:$F$200,"Brand page")&gt;0,"Y",IF(COUNTIFS('QC listings'!$A$5:$A$200,$M245,'QC listings'!$C$5:$C$200,P$4)&gt;0,"?","–")))</f>
        <v/>
      </c>
      <c r="Q245" s="12" t="str">
        <f aca="false">IF($M245="","",IF(COUNTIFS('QC listings'!$A$5:$A$200,$M245,'QC listings'!$C$5:$C$200,Q$4,'QC listings'!$F$5:$F$200,"Listing page")+COUNTIFS('QC listings'!$A$5:$A$200,$M245,'QC listings'!$C$5:$C$200,Q$4,'QC listings'!$F$5:$F$200,"Brand page")&gt;0,"Y",IF(COUNTIFS('QC listings'!$A$5:$A$200,$M245,'QC listings'!$C$5:$C$200,Q$4)&gt;0,"?","–")))</f>
        <v/>
      </c>
      <c r="R245" s="12" t="str">
        <f aca="false">IF($M245="","",IF(COUNTIFS('QC listings'!$A$5:$A$200,$M245,'QC listings'!$C$5:$C$200,R$4,'QC listings'!$F$5:$F$200,"Listing page")+COUNTIFS('QC listings'!$A$5:$A$200,$M245,'QC listings'!$C$5:$C$200,R$4,'QC listings'!$F$5:$F$200,"Brand page")&gt;0,"Y",IF(COUNTIFS('QC listings'!$A$5:$A$200,$M245,'QC listings'!$C$5:$C$200,R$4)&gt;0,"?","–")))</f>
        <v/>
      </c>
      <c r="S245" s="12" t="str">
        <f aca="false">IF($M245="","",COUNTIF(O245:R245,"Y"))</f>
        <v/>
      </c>
      <c r="T245" s="23" t="str">
        <f aca="false">IF($M245="","",SUMPRODUCT(MAX(('QC listings'!$A$5:$A$200=$M245)*'QC listings'!$E$5:$E$200)))</f>
        <v/>
      </c>
      <c r="U245" s="12" t="str">
        <f aca="false">IF($M245="","",IF(T245&gt;=Scoring!$B$11,3,IF(T245&gt;=Scoring!$B$10,2,IF(T245&gt;=Scoring!$B$9,1,0))))</f>
        <v/>
      </c>
      <c r="V245" s="12" t="n">
        <f aca="false">IFERROR(INDEX(Scoring!$B$27:$B$56,MATCH($E245,Scoring!$A$27:$A$56,0)),0)</f>
        <v>0</v>
      </c>
      <c r="W245" s="24" t="n">
        <f aca="false">IF($G245="","",ROUND((Scoring!$B$5-$G245)/30.4375,1))</f>
        <v>3.8</v>
      </c>
      <c r="X245" s="12" t="n">
        <f aca="false">IF($F245="Expired",Scoring!$B$18,IF($G245="",Scoring!$B$17,IF(W245&lt;=Scoring!$B$12,Scoring!$B$13,IF(W245&lt;=Scoring!$B$14,Scoring!$B$15,Scoring!$B$16))))</f>
        <v>2</v>
      </c>
      <c r="Y245" s="15" t="str">
        <f aca="false">IF($M245="","",ROUND((S245*Scoring!$B$6+U245*Scoring!$B$7)*IFERROR(INDEX(Scoring!$B$22:$B$24,MATCH($N245,Scoring!$A$22:$A$24,0)),1)+V245*Scoring!$B$8+X245,2))</f>
        <v/>
      </c>
      <c r="Z245" s="12" t="str">
        <f aca="false">IF($M245="","",IF(SUMPRODUCT(($M$5:$M$249=$M245)*($G$5:$G$249&gt;$G245))&gt;0,0,IF(SUMPRODUCT(($M$5:$M$249=$M245)*($G$5:$G$249=$G245)*(ROW($M$5:$M$249)&lt;ROW($M245)))&gt;0,0,1)))</f>
        <v/>
      </c>
      <c r="AA245" s="12" t="str">
        <f aca="false">IF($Z245=1,RANK($AE245,$AE$5:$AE$249,0),"")</f>
        <v/>
      </c>
      <c r="AB245" s="7" t="s">
        <v>153</v>
      </c>
      <c r="AC245" s="6" t="s">
        <v>162</v>
      </c>
      <c r="AD245" s="6" t="s">
        <v>1323</v>
      </c>
      <c r="AE245" s="25" t="str">
        <f aca="false">IF($Z245=1,$Y245+$T245/1000000000-ROW()/10000000,"")</f>
        <v/>
      </c>
    </row>
    <row r="246" customFormat="false" ht="23.85" hidden="false" customHeight="false" outlineLevel="0" collapsed="false">
      <c r="A246" s="7" t="s">
        <v>1324</v>
      </c>
      <c r="B246" s="6" t="s">
        <v>1319</v>
      </c>
      <c r="C246" s="6" t="s">
        <v>1325</v>
      </c>
      <c r="D246" s="7" t="s">
        <v>1308</v>
      </c>
      <c r="E246" s="7" t="s">
        <v>1315</v>
      </c>
      <c r="F246" s="12" t="s">
        <v>158</v>
      </c>
      <c r="G246" s="13" t="n">
        <v>46023</v>
      </c>
      <c r="H246" s="7" t="s">
        <v>1326</v>
      </c>
      <c r="I246" s="6" t="s">
        <v>149</v>
      </c>
      <c r="J246" s="7" t="s">
        <v>60</v>
      </c>
      <c r="K246" s="12"/>
      <c r="L246" s="10" t="s">
        <v>1327</v>
      </c>
      <c r="M246" s="7"/>
      <c r="N246" s="12"/>
      <c r="O246" s="12" t="str">
        <f aca="false">IF($M246="","",IF(COUNTIFS('QC listings'!$A$5:$A$200,$M246,'QC listings'!$C$5:$C$200,O$4,'QC listings'!$F$5:$F$200,"Listing page")+COUNTIFS('QC listings'!$A$5:$A$200,$M246,'QC listings'!$C$5:$C$200,O$4,'QC listings'!$F$5:$F$200,"Brand page")&gt;0,"Y",IF(COUNTIFS('QC listings'!$A$5:$A$200,$M246,'QC listings'!$C$5:$C$200,O$4)&gt;0,"?","–")))</f>
        <v/>
      </c>
      <c r="P246" s="12" t="str">
        <f aca="false">IF($M246="","",IF(COUNTIFS('QC listings'!$A$5:$A$200,$M246,'QC listings'!$C$5:$C$200,P$4,'QC listings'!$F$5:$F$200,"Listing page")+COUNTIFS('QC listings'!$A$5:$A$200,$M246,'QC listings'!$C$5:$C$200,P$4,'QC listings'!$F$5:$F$200,"Brand page")&gt;0,"Y",IF(COUNTIFS('QC listings'!$A$5:$A$200,$M246,'QC listings'!$C$5:$C$200,P$4)&gt;0,"?","–")))</f>
        <v/>
      </c>
      <c r="Q246" s="12" t="str">
        <f aca="false">IF($M246="","",IF(COUNTIFS('QC listings'!$A$5:$A$200,$M246,'QC listings'!$C$5:$C$200,Q$4,'QC listings'!$F$5:$F$200,"Listing page")+COUNTIFS('QC listings'!$A$5:$A$200,$M246,'QC listings'!$C$5:$C$200,Q$4,'QC listings'!$F$5:$F$200,"Brand page")&gt;0,"Y",IF(COUNTIFS('QC listings'!$A$5:$A$200,$M246,'QC listings'!$C$5:$C$200,Q$4)&gt;0,"?","–")))</f>
        <v/>
      </c>
      <c r="R246" s="12" t="str">
        <f aca="false">IF($M246="","",IF(COUNTIFS('QC listings'!$A$5:$A$200,$M246,'QC listings'!$C$5:$C$200,R$4,'QC listings'!$F$5:$F$200,"Listing page")+COUNTIFS('QC listings'!$A$5:$A$200,$M246,'QC listings'!$C$5:$C$200,R$4,'QC listings'!$F$5:$F$200,"Brand page")&gt;0,"Y",IF(COUNTIFS('QC listings'!$A$5:$A$200,$M246,'QC listings'!$C$5:$C$200,R$4)&gt;0,"?","–")))</f>
        <v/>
      </c>
      <c r="S246" s="12" t="str">
        <f aca="false">IF($M246="","",COUNTIF(O246:R246,"Y"))</f>
        <v/>
      </c>
      <c r="T246" s="23" t="str">
        <f aca="false">IF($M246="","",SUMPRODUCT(MAX(('QC listings'!$A$5:$A$200=$M246)*'QC listings'!$E$5:$E$200)))</f>
        <v/>
      </c>
      <c r="U246" s="12" t="str">
        <f aca="false">IF($M246="","",IF(T246&gt;=Scoring!$B$11,3,IF(T246&gt;=Scoring!$B$10,2,IF(T246&gt;=Scoring!$B$9,1,0))))</f>
        <v/>
      </c>
      <c r="V246" s="12" t="n">
        <f aca="false">IFERROR(INDEX(Scoring!$B$27:$B$56,MATCH($E246,Scoring!$A$27:$A$56,0)),0)</f>
        <v>0</v>
      </c>
      <c r="W246" s="24" t="n">
        <f aca="false">IF($G246="","",ROUND((Scoring!$B$5-$G246)/30.4375,1))</f>
        <v>9</v>
      </c>
      <c r="X246" s="12" t="n">
        <f aca="false">IF($F246="Expired",Scoring!$B$18,IF($G246="",Scoring!$B$17,IF(W246&lt;=Scoring!$B$12,Scoring!$B$13,IF(W246&lt;=Scoring!$B$14,Scoring!$B$15,Scoring!$B$16))))</f>
        <v>2</v>
      </c>
      <c r="Y246" s="15" t="str">
        <f aca="false">IF($M246="","",ROUND((S246*Scoring!$B$6+U246*Scoring!$B$7)*IFERROR(INDEX(Scoring!$B$22:$B$24,MATCH($N246,Scoring!$A$22:$A$24,0)),1)+V246*Scoring!$B$8+X246,2))</f>
        <v/>
      </c>
      <c r="Z246" s="12" t="str">
        <f aca="false">IF($M246="","",IF(SUMPRODUCT(($M$5:$M$249=$M246)*($G$5:$G$249&gt;$G246))&gt;0,0,IF(SUMPRODUCT(($M$5:$M$249=$M246)*($G$5:$G$249=$G246)*(ROW($M$5:$M$249)&lt;ROW($M246)))&gt;0,0,1)))</f>
        <v/>
      </c>
      <c r="AA246" s="12" t="str">
        <f aca="false">IF($Z246=1,RANK($AE246,$AE$5:$AE$249,0),"")</f>
        <v/>
      </c>
      <c r="AB246" s="7" t="s">
        <v>153</v>
      </c>
      <c r="AC246" s="6" t="s">
        <v>162</v>
      </c>
      <c r="AD246" s="6"/>
      <c r="AE246" s="25" t="str">
        <f aca="false">IF($Z246=1,$Y246+$T246/1000000000-ROW()/10000000,"")</f>
        <v/>
      </c>
    </row>
    <row r="247" customFormat="false" ht="23.85" hidden="false" customHeight="false" outlineLevel="0" collapsed="false">
      <c r="A247" s="7" t="s">
        <v>1328</v>
      </c>
      <c r="B247" s="6" t="s">
        <v>1319</v>
      </c>
      <c r="C247" s="6" t="s">
        <v>1329</v>
      </c>
      <c r="D247" s="7" t="s">
        <v>1308</v>
      </c>
      <c r="E247" s="7" t="s">
        <v>1315</v>
      </c>
      <c r="F247" s="12" t="s">
        <v>158</v>
      </c>
      <c r="G247" s="13" t="n">
        <v>46078</v>
      </c>
      <c r="H247" s="7" t="s">
        <v>1330</v>
      </c>
      <c r="I247" s="6" t="s">
        <v>149</v>
      </c>
      <c r="J247" s="7" t="s">
        <v>60</v>
      </c>
      <c r="K247" s="12"/>
      <c r="L247" s="10" t="s">
        <v>1331</v>
      </c>
      <c r="M247" s="7"/>
      <c r="N247" s="12"/>
      <c r="O247" s="12" t="str">
        <f aca="false">IF($M247="","",IF(COUNTIFS('QC listings'!$A$5:$A$200,$M247,'QC listings'!$C$5:$C$200,O$4,'QC listings'!$F$5:$F$200,"Listing page")+COUNTIFS('QC listings'!$A$5:$A$200,$M247,'QC listings'!$C$5:$C$200,O$4,'QC listings'!$F$5:$F$200,"Brand page")&gt;0,"Y",IF(COUNTIFS('QC listings'!$A$5:$A$200,$M247,'QC listings'!$C$5:$C$200,O$4)&gt;0,"?","–")))</f>
        <v/>
      </c>
      <c r="P247" s="12" t="str">
        <f aca="false">IF($M247="","",IF(COUNTIFS('QC listings'!$A$5:$A$200,$M247,'QC listings'!$C$5:$C$200,P$4,'QC listings'!$F$5:$F$200,"Listing page")+COUNTIFS('QC listings'!$A$5:$A$200,$M247,'QC listings'!$C$5:$C$200,P$4,'QC listings'!$F$5:$F$200,"Brand page")&gt;0,"Y",IF(COUNTIFS('QC listings'!$A$5:$A$200,$M247,'QC listings'!$C$5:$C$200,P$4)&gt;0,"?","–")))</f>
        <v/>
      </c>
      <c r="Q247" s="12" t="str">
        <f aca="false">IF($M247="","",IF(COUNTIFS('QC listings'!$A$5:$A$200,$M247,'QC listings'!$C$5:$C$200,Q$4,'QC listings'!$F$5:$F$200,"Listing page")+COUNTIFS('QC listings'!$A$5:$A$200,$M247,'QC listings'!$C$5:$C$200,Q$4,'QC listings'!$F$5:$F$200,"Brand page")&gt;0,"Y",IF(COUNTIFS('QC listings'!$A$5:$A$200,$M247,'QC listings'!$C$5:$C$200,Q$4)&gt;0,"?","–")))</f>
        <v/>
      </c>
      <c r="R247" s="12" t="str">
        <f aca="false">IF($M247="","",IF(COUNTIFS('QC listings'!$A$5:$A$200,$M247,'QC listings'!$C$5:$C$200,R$4,'QC listings'!$F$5:$F$200,"Listing page")+COUNTIFS('QC listings'!$A$5:$A$200,$M247,'QC listings'!$C$5:$C$200,R$4,'QC listings'!$F$5:$F$200,"Brand page")&gt;0,"Y",IF(COUNTIFS('QC listings'!$A$5:$A$200,$M247,'QC listings'!$C$5:$C$200,R$4)&gt;0,"?","–")))</f>
        <v/>
      </c>
      <c r="S247" s="12" t="str">
        <f aca="false">IF($M247="","",COUNTIF(O247:R247,"Y"))</f>
        <v/>
      </c>
      <c r="T247" s="23" t="str">
        <f aca="false">IF($M247="","",SUMPRODUCT(MAX(('QC listings'!$A$5:$A$200=$M247)*'QC listings'!$E$5:$E$200)))</f>
        <v/>
      </c>
      <c r="U247" s="12" t="str">
        <f aca="false">IF($M247="","",IF(T247&gt;=Scoring!$B$11,3,IF(T247&gt;=Scoring!$B$10,2,IF(T247&gt;=Scoring!$B$9,1,0))))</f>
        <v/>
      </c>
      <c r="V247" s="12" t="n">
        <f aca="false">IFERROR(INDEX(Scoring!$B$27:$B$56,MATCH($E247,Scoring!$A$27:$A$56,0)),0)</f>
        <v>0</v>
      </c>
      <c r="W247" s="24" t="n">
        <f aca="false">IF($G247="","",ROUND((Scoring!$B$5-$G247)/30.4375,1))</f>
        <v>7.2</v>
      </c>
      <c r="X247" s="12" t="n">
        <f aca="false">IF($F247="Expired",Scoring!$B$18,IF($G247="",Scoring!$B$17,IF(W247&lt;=Scoring!$B$12,Scoring!$B$13,IF(W247&lt;=Scoring!$B$14,Scoring!$B$15,Scoring!$B$16))))</f>
        <v>2</v>
      </c>
      <c r="Y247" s="15" t="str">
        <f aca="false">IF($M247="","",ROUND((S247*Scoring!$B$6+U247*Scoring!$B$7)*IFERROR(INDEX(Scoring!$B$22:$B$24,MATCH($N247,Scoring!$A$22:$A$24,0)),1)+V247*Scoring!$B$8+X247,2))</f>
        <v/>
      </c>
      <c r="Z247" s="12" t="str">
        <f aca="false">IF($M247="","",IF(SUMPRODUCT(($M$5:$M$249=$M247)*($G$5:$G$249&gt;$G247))&gt;0,0,IF(SUMPRODUCT(($M$5:$M$249=$M247)*($G$5:$G$249=$G247)*(ROW($M$5:$M$249)&lt;ROW($M247)))&gt;0,0,1)))</f>
        <v/>
      </c>
      <c r="AA247" s="12" t="str">
        <f aca="false">IF($Z247=1,RANK($AE247,$AE$5:$AE$249,0),"")</f>
        <v/>
      </c>
      <c r="AB247" s="7" t="s">
        <v>153</v>
      </c>
      <c r="AC247" s="6" t="s">
        <v>162</v>
      </c>
      <c r="AD247" s="6" t="s">
        <v>1332</v>
      </c>
      <c r="AE247" s="25" t="str">
        <f aca="false">IF($Z247=1,$Y247+$T247/1000000000-ROW()/10000000,"")</f>
        <v/>
      </c>
    </row>
    <row r="248" customFormat="false" ht="23.85" hidden="false" customHeight="false" outlineLevel="0" collapsed="false">
      <c r="A248" s="7" t="s">
        <v>1333</v>
      </c>
      <c r="B248" s="6" t="s">
        <v>1319</v>
      </c>
      <c r="C248" s="6" t="s">
        <v>1334</v>
      </c>
      <c r="D248" s="7" t="s">
        <v>1308</v>
      </c>
      <c r="E248" s="7" t="s">
        <v>1315</v>
      </c>
      <c r="F248" s="12" t="s">
        <v>158</v>
      </c>
      <c r="G248" s="13" t="n">
        <v>46023</v>
      </c>
      <c r="H248" s="7" t="s">
        <v>1335</v>
      </c>
      <c r="I248" s="6" t="s">
        <v>149</v>
      </c>
      <c r="J248" s="7" t="s">
        <v>60</v>
      </c>
      <c r="K248" s="12"/>
      <c r="L248" s="10" t="s">
        <v>1336</v>
      </c>
      <c r="M248" s="7"/>
      <c r="N248" s="12"/>
      <c r="O248" s="12" t="str">
        <f aca="false">IF($M248="","",IF(COUNTIFS('QC listings'!$A$5:$A$200,$M248,'QC listings'!$C$5:$C$200,O$4,'QC listings'!$F$5:$F$200,"Listing page")+COUNTIFS('QC listings'!$A$5:$A$200,$M248,'QC listings'!$C$5:$C$200,O$4,'QC listings'!$F$5:$F$200,"Brand page")&gt;0,"Y",IF(COUNTIFS('QC listings'!$A$5:$A$200,$M248,'QC listings'!$C$5:$C$200,O$4)&gt;0,"?","–")))</f>
        <v/>
      </c>
      <c r="P248" s="12" t="str">
        <f aca="false">IF($M248="","",IF(COUNTIFS('QC listings'!$A$5:$A$200,$M248,'QC listings'!$C$5:$C$200,P$4,'QC listings'!$F$5:$F$200,"Listing page")+COUNTIFS('QC listings'!$A$5:$A$200,$M248,'QC listings'!$C$5:$C$200,P$4,'QC listings'!$F$5:$F$200,"Brand page")&gt;0,"Y",IF(COUNTIFS('QC listings'!$A$5:$A$200,$M248,'QC listings'!$C$5:$C$200,P$4)&gt;0,"?","–")))</f>
        <v/>
      </c>
      <c r="Q248" s="12" t="str">
        <f aca="false">IF($M248="","",IF(COUNTIFS('QC listings'!$A$5:$A$200,$M248,'QC listings'!$C$5:$C$200,Q$4,'QC listings'!$F$5:$F$200,"Listing page")+COUNTIFS('QC listings'!$A$5:$A$200,$M248,'QC listings'!$C$5:$C$200,Q$4,'QC listings'!$F$5:$F$200,"Brand page")&gt;0,"Y",IF(COUNTIFS('QC listings'!$A$5:$A$200,$M248,'QC listings'!$C$5:$C$200,Q$4)&gt;0,"?","–")))</f>
        <v/>
      </c>
      <c r="R248" s="12" t="str">
        <f aca="false">IF($M248="","",IF(COUNTIFS('QC listings'!$A$5:$A$200,$M248,'QC listings'!$C$5:$C$200,R$4,'QC listings'!$F$5:$F$200,"Listing page")+COUNTIFS('QC listings'!$A$5:$A$200,$M248,'QC listings'!$C$5:$C$200,R$4,'QC listings'!$F$5:$F$200,"Brand page")&gt;0,"Y",IF(COUNTIFS('QC listings'!$A$5:$A$200,$M248,'QC listings'!$C$5:$C$200,R$4)&gt;0,"?","–")))</f>
        <v/>
      </c>
      <c r="S248" s="12" t="str">
        <f aca="false">IF($M248="","",COUNTIF(O248:R248,"Y"))</f>
        <v/>
      </c>
      <c r="T248" s="23" t="str">
        <f aca="false">IF($M248="","",SUMPRODUCT(MAX(('QC listings'!$A$5:$A$200=$M248)*'QC listings'!$E$5:$E$200)))</f>
        <v/>
      </c>
      <c r="U248" s="12" t="str">
        <f aca="false">IF($M248="","",IF(T248&gt;=Scoring!$B$11,3,IF(T248&gt;=Scoring!$B$10,2,IF(T248&gt;=Scoring!$B$9,1,0))))</f>
        <v/>
      </c>
      <c r="V248" s="12" t="n">
        <f aca="false">IFERROR(INDEX(Scoring!$B$27:$B$56,MATCH($E248,Scoring!$A$27:$A$56,0)),0)</f>
        <v>0</v>
      </c>
      <c r="W248" s="24" t="n">
        <f aca="false">IF($G248="","",ROUND((Scoring!$B$5-$G248)/30.4375,1))</f>
        <v>9</v>
      </c>
      <c r="X248" s="12" t="n">
        <f aca="false">IF($F248="Expired",Scoring!$B$18,IF($G248="",Scoring!$B$17,IF(W248&lt;=Scoring!$B$12,Scoring!$B$13,IF(W248&lt;=Scoring!$B$14,Scoring!$B$15,Scoring!$B$16))))</f>
        <v>2</v>
      </c>
      <c r="Y248" s="15" t="str">
        <f aca="false">IF($M248="","",ROUND((S248*Scoring!$B$6+U248*Scoring!$B$7)*IFERROR(INDEX(Scoring!$B$22:$B$24,MATCH($N248,Scoring!$A$22:$A$24,0)),1)+V248*Scoring!$B$8+X248,2))</f>
        <v/>
      </c>
      <c r="Z248" s="12" t="str">
        <f aca="false">IF($M248="","",IF(SUMPRODUCT(($M$5:$M$249=$M248)*($G$5:$G$249&gt;$G248))&gt;0,0,IF(SUMPRODUCT(($M$5:$M$249=$M248)*($G$5:$G$249=$G248)*(ROW($M$5:$M$249)&lt;ROW($M248)))&gt;0,0,1)))</f>
        <v/>
      </c>
      <c r="AA248" s="12" t="str">
        <f aca="false">IF($Z248=1,RANK($AE248,$AE$5:$AE$249,0),"")</f>
        <v/>
      </c>
      <c r="AB248" s="7" t="s">
        <v>153</v>
      </c>
      <c r="AC248" s="6" t="s">
        <v>162</v>
      </c>
      <c r="AD248" s="6"/>
      <c r="AE248" s="25" t="str">
        <f aca="false">IF($Z248=1,$Y248+$T248/1000000000-ROW()/10000000,"")</f>
        <v/>
      </c>
    </row>
    <row r="249" customFormat="false" ht="23.85" hidden="false" customHeight="false" outlineLevel="0" collapsed="false">
      <c r="A249" s="7" t="s">
        <v>1337</v>
      </c>
      <c r="B249" s="6" t="s">
        <v>1319</v>
      </c>
      <c r="C249" s="6" t="s">
        <v>1338</v>
      </c>
      <c r="D249" s="7" t="s">
        <v>1308</v>
      </c>
      <c r="E249" s="7" t="s">
        <v>1315</v>
      </c>
      <c r="F249" s="12" t="s">
        <v>158</v>
      </c>
      <c r="G249" s="13" t="n">
        <v>46078</v>
      </c>
      <c r="H249" s="7" t="s">
        <v>1339</v>
      </c>
      <c r="I249" s="6" t="s">
        <v>149</v>
      </c>
      <c r="J249" s="7" t="s">
        <v>60</v>
      </c>
      <c r="K249" s="12"/>
      <c r="L249" s="10" t="s">
        <v>1340</v>
      </c>
      <c r="M249" s="7"/>
      <c r="N249" s="12"/>
      <c r="O249" s="12" t="str">
        <f aca="false">IF($M249="","",IF(COUNTIFS('QC listings'!$A$5:$A$200,$M249,'QC listings'!$C$5:$C$200,O$4,'QC listings'!$F$5:$F$200,"Listing page")+COUNTIFS('QC listings'!$A$5:$A$200,$M249,'QC listings'!$C$5:$C$200,O$4,'QC listings'!$F$5:$F$200,"Brand page")&gt;0,"Y",IF(COUNTIFS('QC listings'!$A$5:$A$200,$M249,'QC listings'!$C$5:$C$200,O$4)&gt;0,"?","–")))</f>
        <v/>
      </c>
      <c r="P249" s="12" t="str">
        <f aca="false">IF($M249="","",IF(COUNTIFS('QC listings'!$A$5:$A$200,$M249,'QC listings'!$C$5:$C$200,P$4,'QC listings'!$F$5:$F$200,"Listing page")+COUNTIFS('QC listings'!$A$5:$A$200,$M249,'QC listings'!$C$5:$C$200,P$4,'QC listings'!$F$5:$F$200,"Brand page")&gt;0,"Y",IF(COUNTIFS('QC listings'!$A$5:$A$200,$M249,'QC listings'!$C$5:$C$200,P$4)&gt;0,"?","–")))</f>
        <v/>
      </c>
      <c r="Q249" s="12" t="str">
        <f aca="false">IF($M249="","",IF(COUNTIFS('QC listings'!$A$5:$A$200,$M249,'QC listings'!$C$5:$C$200,Q$4,'QC listings'!$F$5:$F$200,"Listing page")+COUNTIFS('QC listings'!$A$5:$A$200,$M249,'QC listings'!$C$5:$C$200,Q$4,'QC listings'!$F$5:$F$200,"Brand page")&gt;0,"Y",IF(COUNTIFS('QC listings'!$A$5:$A$200,$M249,'QC listings'!$C$5:$C$200,Q$4)&gt;0,"?","–")))</f>
        <v/>
      </c>
      <c r="R249" s="12" t="str">
        <f aca="false">IF($M249="","",IF(COUNTIFS('QC listings'!$A$5:$A$200,$M249,'QC listings'!$C$5:$C$200,R$4,'QC listings'!$F$5:$F$200,"Listing page")+COUNTIFS('QC listings'!$A$5:$A$200,$M249,'QC listings'!$C$5:$C$200,R$4,'QC listings'!$F$5:$F$200,"Brand page")&gt;0,"Y",IF(COUNTIFS('QC listings'!$A$5:$A$200,$M249,'QC listings'!$C$5:$C$200,R$4)&gt;0,"?","–")))</f>
        <v/>
      </c>
      <c r="S249" s="12" t="str">
        <f aca="false">IF($M249="","",COUNTIF(O249:R249,"Y"))</f>
        <v/>
      </c>
      <c r="T249" s="23" t="str">
        <f aca="false">IF($M249="","",SUMPRODUCT(MAX(('QC listings'!$A$5:$A$200=$M249)*'QC listings'!$E$5:$E$200)))</f>
        <v/>
      </c>
      <c r="U249" s="12" t="str">
        <f aca="false">IF($M249="","",IF(T249&gt;=Scoring!$B$11,3,IF(T249&gt;=Scoring!$B$10,2,IF(T249&gt;=Scoring!$B$9,1,0))))</f>
        <v/>
      </c>
      <c r="V249" s="12" t="n">
        <f aca="false">IFERROR(INDEX(Scoring!$B$27:$B$56,MATCH($E249,Scoring!$A$27:$A$56,0)),0)</f>
        <v>0</v>
      </c>
      <c r="W249" s="24" t="n">
        <f aca="false">IF($G249="","",ROUND((Scoring!$B$5-$G249)/30.4375,1))</f>
        <v>7.2</v>
      </c>
      <c r="X249" s="12" t="n">
        <f aca="false">IF($F249="Expired",Scoring!$B$18,IF($G249="",Scoring!$B$17,IF(W249&lt;=Scoring!$B$12,Scoring!$B$13,IF(W249&lt;=Scoring!$B$14,Scoring!$B$15,Scoring!$B$16))))</f>
        <v>2</v>
      </c>
      <c r="Y249" s="15" t="str">
        <f aca="false">IF($M249="","",ROUND((S249*Scoring!$B$6+U249*Scoring!$B$7)*IFERROR(INDEX(Scoring!$B$22:$B$24,MATCH($N249,Scoring!$A$22:$A$24,0)),1)+V249*Scoring!$B$8+X249,2))</f>
        <v/>
      </c>
      <c r="Z249" s="12" t="str">
        <f aca="false">IF($M249="","",IF(SUMPRODUCT(($M$5:$M$249=$M249)*($G$5:$G$249&gt;$G249))&gt;0,0,IF(SUMPRODUCT(($M$5:$M$249=$M249)*($G$5:$G$249=$G249)*(ROW($M$5:$M$249)&lt;ROW($M249)))&gt;0,0,1)))</f>
        <v/>
      </c>
      <c r="AA249" s="12" t="str">
        <f aca="false">IF($Z249=1,RANK($AE249,$AE$5:$AE$249,0),"")</f>
        <v/>
      </c>
      <c r="AB249" s="7" t="s">
        <v>153</v>
      </c>
      <c r="AC249" s="6" t="s">
        <v>162</v>
      </c>
      <c r="AD249" s="6" t="s">
        <v>1332</v>
      </c>
      <c r="AE249" s="25" t="str">
        <f aca="false">IF($Z249=1,$Y249+$T249/1000000000-ROW()/10000000,"")</f>
        <v/>
      </c>
    </row>
  </sheetData>
  <autoFilter ref="A4:AE249"/>
  <mergeCells count="5">
    <mergeCell ref="A3:E3"/>
    <mergeCell ref="F3:L3"/>
    <mergeCell ref="M3:R3"/>
    <mergeCell ref="S3:AA3"/>
    <mergeCell ref="AB3:AD3"/>
  </mergeCells>
  <conditionalFormatting sqref="F5:F249">
    <cfRule type="expression" priority="2" aboveAverage="0" equalAverage="0" bottom="0" percent="0" rank="0" text="" dxfId="32">
      <formula>$F5="Passed"</formula>
    </cfRule>
    <cfRule type="expression" priority="3" aboveAverage="0" equalAverage="0" bottom="0" percent="0" rank="0" text="" dxfId="33">
      <formula>OR($F5="Failed",$F5="Not recommended")</formula>
    </cfRule>
    <cfRule type="expression" priority="4" aboveAverage="0" equalAverage="0" bottom="0" percent="0" rank="0" text="" dxfId="34">
      <formula>$F5="Expired"</formula>
    </cfRule>
    <cfRule type="expression" priority="5" aboveAverage="0" equalAverage="0" bottom="0" percent="0" rank="0" text="" dxfId="35">
      <formula>OR($F5="Report published",$F5="Rated")</formula>
    </cfRule>
    <cfRule type="expression" priority="6" aboveAverage="0" equalAverage="0" bottom="0" percent="0" rank="0" text="" dxfId="36">
      <formula>OR($F5="No status shown",LEFT($F5,6)="Listed")</formula>
    </cfRule>
  </conditionalFormatting>
  <conditionalFormatting sqref="O5:R249">
    <cfRule type="expression" priority="7" aboveAverage="0" equalAverage="0" bottom="0" percent="0" rank="0" text="" dxfId="41">
      <formula>O5="Y"</formula>
    </cfRule>
    <cfRule type="expression" priority="8" aboveAverage="0" equalAverage="0" bottom="0" percent="0" rank="0" text="" dxfId="42">
      <formula>O5="?"</formula>
    </cfRule>
    <cfRule type="expression" priority="9" aboveAverage="0" equalAverage="0" bottom="0" percent="0" rank="0" text="" dxfId="43">
      <formula>O5="–"</formula>
    </cfRule>
  </conditionalFormatting>
  <conditionalFormatting sqref="Y5:Y249">
    <cfRule type="colorScale" priority="10">
      <colorScale>
        <cfvo type="num" val="0"/>
        <cfvo type="num" val="14"/>
        <color rgb="FFFFFFFF"/>
        <color rgb="FF63BE7B"/>
      </colorScale>
    </cfRule>
  </conditionalFormatting>
  <hyperlinks>
    <hyperlink ref="L5" r:id="rId1" display="https://www.trustified.in/passandfail/amulgoldmilk"/>
    <hyperlink ref="L6" r:id="rId2" display="https://www.trustified.in/passandfail/amulHomogenisedmilk"/>
    <hyperlink ref="L7" r:id="rId3" display="https://www.trustified.in/passandfail/amultaazamilk"/>
    <hyperlink ref="L8" r:id="rId4" display="https://www.trustified.in/passandfail/countrydelightmilk"/>
    <hyperlink ref="L9" r:id="rId5" display="https://www.trustified.in/passandfail/motherdairymilk"/>
    <hyperlink ref="L10" r:id="rId6" display="https://www.trustified.in/passandfail/mastidahipouch"/>
    <hyperlink ref="L11" r:id="rId7" display="https://www.trustified.in/passandfail/mastidahicup"/>
    <hyperlink ref="L12" r:id="rId8" display="https://www.trustified.in/passandfail/epigamiayoughurt50"/>
    <hyperlink ref="L13" r:id="rId9" display="https://www.unboxhealth.in/explore/product/7b605075-0bb8-4064-937e-de95e33c6672"/>
    <hyperlink ref="L14" r:id="rId10" display="https://www.trustified.in/passandfail/farmleymakhana"/>
    <hyperlink ref="L15" r:id="rId11" display="https://www.trustified.in/passandfail/haldiramspeanuts"/>
    <hyperlink ref="L16" r:id="rId12" display="https://www.unboxhealth.in/explore/product/lays-potato-chips---indias-magic-masala/c7bdd404-97eb-4470-812d-d4fc4a68c944"/>
    <hyperlink ref="L17" r:id="rId13" display="https://www.unboxhealth.in/explore/product/ritebite-max-protein-cheese-jalapeno-chips/b733c200-c16b-4468-9c91-0cea00930364"/>
    <hyperlink ref="L18" r:id="rId14" display="https://www.unboxhealth.in/explore/product/3dfb3950-582e-4b56-ba0b-0c2391329388"/>
    <hyperlink ref="L19" r:id="rId15" display="https://www.unboxhealth.in/explore/product/superyou-multigrain-protein-chips-sour-cream-onion/4c5f0fc0-347f-40ee-9ec8-348e967804b5"/>
    <hyperlink ref="L20" r:id="rId16" display="https://www.unboxhealth.in/explore/product/taali-jowar-protein-puffs-masala-mania/9f25514e-fea0-4fce-8e84-999aea95b452"/>
    <hyperlink ref="L21" r:id="rId17" display="https://www.unboxhealth.in/explore/product/too-yumm-spicy-chilli-wafers-potato-chips/8c2e8764-4b6a-4370-b2bd-ce354f3f66a6"/>
    <hyperlink ref="L22" r:id="rId18" display="https://www.trustified.in/passandfail/minus30icecream"/>
    <hyperlink ref="L23" r:id="rId19" display="https://www.trustified.in/passandfail/notoicecream"/>
    <hyperlink ref="L24" r:id="rId20" display="https://www.trustified.in/passandfail/amulbutter"/>
    <hyperlink ref="L25" r:id="rId21" display="https://www.trustified.in/passandfail/amulcheesecubes"/>
    <hyperlink ref="L26" r:id="rId22" display="https://www.trustified.in/passandfail/amulpaneer"/>
    <hyperlink ref="L27" r:id="rId23" display="https://www.unboxhealth.in/explore/product/ceb7eace-c8ba-49e5-a2cd-0dd8d881f5df"/>
    <hyperlink ref="L28" r:id="rId24" display="https://www.trustified.in/passandfail/ashirvaadghee"/>
    <hyperlink ref="L29" r:id="rId25" display="https://www.trustified.in/passandfail/amulghee"/>
    <hyperlink ref="L30" r:id="rId26" display="https://www.unboxhealth.in/explore/product/dc334a51-2a93-4257-be64-178a33956e2b"/>
    <hyperlink ref="L31" r:id="rId27" display="https://www.unboxhealth.in/explore/product/1b38aa3a-6707-49d8-b956-5c7c581a949f"/>
    <hyperlink ref="L32" r:id="rId28" display="https://www.trustified.in/passandfail/Countrydelightghee"/>
    <hyperlink ref="L33" r:id="rId29" display="https://www.unboxhealth.in/explore/product/b89ecab2-2626-4946-9650-593f54970dd8"/>
    <hyperlink ref="L34" r:id="rId30" display="https://www.unboxhealth.in/explore/product/36f4c341-54a9-4b14-a77e-31c9bf7ceb1d"/>
    <hyperlink ref="L35" r:id="rId31" display="https://www.trustified.in/passandfail/patanjalighee"/>
    <hyperlink ref="L36" r:id="rId32" display="https://www.unboxhealth.in/explore/product/f1e1a714-059f-4583-bef1-67bb8afafb00"/>
    <hyperlink ref="L37" r:id="rId33" display="https://www.trustified.in/passandfail/aashirvaadatta"/>
    <hyperlink ref="L38" r:id="rId34" display="https://www.trustified.in/passandfail/daawatrice"/>
    <hyperlink ref="L39" r:id="rId35" display="https://www.trustified.in/passandfail/indiagatebasmatirice"/>
    <hyperlink ref="L40" r:id="rId36" display="https://www.trustified.in/passandfail/tatasalt"/>
    <hyperlink ref="L41" r:id="rId37" display="https://www.trustified.in/passandfail/fortunemustardoil"/>
    <hyperlink ref="L42" r:id="rId38" display="https://www.trustified.in/passandfail/jivooliveoil"/>
    <hyperlink ref="L43" r:id="rId39" display="https://www.unboxhealth.in/explore/product/799dab45-406f-48cf-9bde-2161b333057b"/>
    <hyperlink ref="L44" r:id="rId40" display="https://www.trustified.in/passandfail/fortunesoyachunks"/>
    <hyperlink ref="L45" r:id="rId41" display="https://www.trustified.in/passandfail/milldproteinflour"/>
    <hyperlink ref="L46" r:id="rId42" display="https://www.trustified.in/passandfail/nutrelasoyachunks"/>
    <hyperlink ref="L47" r:id="rId43" display="https://www.trustified.in/passandfail/britanniawholebread"/>
    <hyperlink ref="L48" r:id="rId44" display="https://www.trustified.in/passandfail/Dmarthaldipowder"/>
    <hyperlink ref="L49" r:id="rId45" display="https://www.trustified.in/passandfail/dmartredchillipowder"/>
    <hyperlink ref="L50" r:id="rId46" display="https://www.trustified.in/passandfail/everestgarammasala"/>
    <hyperlink ref="L51" r:id="rId47" display="https://www.trustified.in/passandfail/everestkashmirilalmirch"/>
    <hyperlink ref="L52" r:id="rId48" display="https://www.trustified.in/passandfail/everestkitchenkingmasala"/>
    <hyperlink ref="L53" r:id="rId49" display="https://www.trustified.in/passandfail/everestmeatmasala"/>
    <hyperlink ref="L54" r:id="rId50" display="https://www.trustified.in/passandfail/magicamasala"/>
    <hyperlink ref="L55" r:id="rId51" display="https://www.trustified.in/passandfail/mdhbiryanimasala"/>
    <hyperlink ref="L56" r:id="rId52" display="https://www.trustified.in/passandfail/mdhchunkychatmasala"/>
    <hyperlink ref="L57" r:id="rId53" display="https://www.trustified.in/passandfail/mdhdeggimirch"/>
    <hyperlink ref="L58" r:id="rId54" display="https://www.trustified.in/passandfail/mdhgarammasala"/>
    <hyperlink ref="L59" r:id="rId55" display="https://www.trustified.in/passandfail/mdhkitchenking"/>
    <hyperlink ref="L60" r:id="rId56" display="https://www.trustified.in/passandfail/Bevzillaclassiccoffee"/>
    <hyperlink ref="L61" r:id="rId57" display="https://www.trustified.in/passandfail/bevzillapremiumcoffee"/>
    <hyperlink ref="L62" r:id="rId58" display="https://www.trustified.in/passandfail/taazatea"/>
    <hyperlink ref="L63" r:id="rId59" display="https://www.trustified.in/passandfail/nescafeclassic"/>
    <hyperlink ref="L64" r:id="rId60" display="https://www.trustified.in/passandfail/vsmanicoffee"/>
    <hyperlink ref="L65" r:id="rId61" display="https://www.unboxhealth.in/explore/product/ca37d7b1-d997-4651-aa9e-41d987353428"/>
    <hyperlink ref="L66" r:id="rId62" display="https://www.unboxhealth.in/explore/product/fe1a8b27-7ae2-43ad-ac04-5e4a3052bb80"/>
    <hyperlink ref="L67" r:id="rId63" display="https://www.unboxhealth.in/explore/product/d9405d82-09d5-418c-ae23-28eb21e85dc9"/>
    <hyperlink ref="L68" r:id="rId64" display="https://www.trustified.in/passandfail/kellogscornflakes"/>
    <hyperlink ref="L69" r:id="rId65" display="https://www.unboxhealth.in/explore/product/c115cb3c-20eb-4533-9ce6-bf9044fb06ce"/>
    <hyperlink ref="L70" r:id="rId66" display="https://www.trustified.in/passandfail/kelloggsmuesli"/>
    <hyperlink ref="L71" r:id="rId67" display="https://www.unboxhealth.in/explore/product/quaker-oats-rolled-oats-natural-wholegrain/632b7071-673c-48bf-8211-1aa24abdef14"/>
    <hyperlink ref="L72" r:id="rId68" display="https://www.trustified.in/passandfail/saffolaoats"/>
    <hyperlink ref="L73" r:id="rId69" display="https://www.unboxhealth.in/explore/product/the-whole-truth-breakfast-muesli-5-grain-muesli/13825ea3-3a61-4b29-b342-5e88d3356f3d"/>
    <hyperlink ref="L74" r:id="rId70" display="https://www.trustified.in/passandfail/kissanketchup"/>
    <hyperlink ref="L75" r:id="rId71" display="https://www.unboxhealth.in/explore/product/1e4f64a1-cbb0-4427-92fb-06d7100464d5"/>
    <hyperlink ref="L76" r:id="rId72" display="https://www.unboxhealth.in/explore/product/9e2b5bcc-f0ce-4d77-ae17-8b989eb856fd"/>
    <hyperlink ref="L77" r:id="rId73" display="https://www.unboxhealth.in/explore/product/39422998-b412-452d-b447-f9da2ff708f9"/>
    <hyperlink ref="L78" r:id="rId74" display="https://www.unboxhealth.in/explore/product/open-secret-cookies-choco-almond-nutty/0d233050-9959-4d13-8d19-56b1c4ba47bd"/>
    <hyperlink ref="L79" r:id="rId75" display="https://www.unboxhealth.in/explore/product/a218aef7-1a09-4c66-8b9d-7cee7245194b"/>
    <hyperlink ref="L80" r:id="rId76" display="https://www.unboxhealth.in/explore/product/sunfeast-farmlite-oats-almonds-cookies/e81baa4d-3ae3-4558-8ae9-7326c31949c3"/>
    <hyperlink ref="L81" r:id="rId77" display="https://www.unboxhealth.in/explore/product/603aea76-2ca9-4f1b-88b8-77283dc29541"/>
    <hyperlink ref="L82" r:id="rId78" display="https://www.unboxhealth.in/explore/product/3d5626fa-e03d-4ff0-979d-1b79addad9c0"/>
    <hyperlink ref="L83" r:id="rId79" display="https://www.unboxhealth.in/explore/category-list/energy-bars/293d1656-8d99-4774-9d36-b77008a1778f"/>
    <hyperlink ref="L84" r:id="rId80" display="https://www.unboxhealth.in/explore/category-list/energy-bars/293d1656-8d99-4774-9d36-b77008a1778f"/>
    <hyperlink ref="L85" r:id="rId81" display="https://www.unboxhealth.in/explore/category-list/energy-bars/293d1656-8d99-4774-9d36-b77008a1778f"/>
    <hyperlink ref="L86" r:id="rId82" display="https://www.trustified.in/passandfail/amul75chocolate"/>
    <hyperlink ref="L87" r:id="rId83" display="https://www.trustified.in/passandfail/amul90chocolate"/>
    <hyperlink ref="L88" r:id="rId84" display="https://www.trustified.in/passandfail/amul55chocolate"/>
    <hyperlink ref="L89" r:id="rId85" display="https://www.unboxhealth.in/explore/product/664f9b20-1313-496e-8c13-2d0d772ec9c2"/>
    <hyperlink ref="L90" r:id="rId86" display="https://www.trustified.in/passandfail/cadburybournville50"/>
    <hyperlink ref="L91" r:id="rId87" display="https://www.trustified.in/passandfail/cadburybournville70"/>
    <hyperlink ref="L92" r:id="rId88" display="https://www.trustified.in/passandfail/Belgianchocolate"/>
    <hyperlink ref="L93" r:id="rId89" display="https://www.trustified.in/passandfail/gozerochocobar"/>
    <hyperlink ref="L94" r:id="rId90" display="https://www.trustified.in/passandfail/Hersheyscocoapowder"/>
    <hyperlink ref="L95" r:id="rId91" display="https://www.trustified.in/passandfail/lindtchocolate70"/>
    <hyperlink ref="L96" r:id="rId92" display="https://www.trustified.in/passandfail/lindtchocolate85"/>
    <hyperlink ref="L97" r:id="rId93" display="https://www.unboxhealth.in/explore/product/e4bf440f-f8a7-4e51-b151-ff0fd467529d"/>
    <hyperlink ref="L98" r:id="rId94" display="https://www.unboxhealth.in/explore/product/6987bada-26bc-47e8-9504-662dc3ac50ef"/>
    <hyperlink ref="L99" r:id="rId95" display="https://www.trustified.in/passandfail/liciouschicken"/>
    <hyperlink ref="L100" r:id="rId96" display="https://www.trustified.in/passandfail/alpinonaturalpeanutbutter"/>
    <hyperlink ref="L101" r:id="rId97" display="https://www.unboxhealth.in/explore/product/alpino-natural-peanut-butter-crunch/663e8046-4297-41d4-8364-85784170e3eb"/>
    <hyperlink ref="L102" r:id="rId98" display="https://www.unboxhealth.in/explore/product/as-it-is-nutrition-atom-high-protein-peanut-butter-i-crunchy-dark-chocolate/7b5e4468-4f38-46f9-8a4a-29c0530dc980"/>
    <hyperlink ref="L103" r:id="rId99" display="https://www.trustified.in/passandfail/disanopeanutbutter"/>
    <hyperlink ref="L104" r:id="rId100" display="https://www.unboxhealth.in/explore/product/disano-peanut-butter-crunchy/2dc3005f-c84a-405e-be66-41af9f8b2384"/>
    <hyperlink ref="L105" r:id="rId101" display="https://www.trustified.in/passandfail/funfoodspeanutbutter"/>
    <hyperlink ref="L106" r:id="rId102" display="https://www.unboxhealth.in/explore/product/happilo-peanut-butter-crunchy/e7c84c5b-7d1f-4fd4-8804-7f1d22309434"/>
    <hyperlink ref="L107" r:id="rId103" display="https://www.unboxhealth.in/explore/product/muscleblaze-protein-peanut-butter-creamy---dark-chocolate/85a5d325-3a92-4adf-9d7e-312f20f3d633"/>
    <hyperlink ref="L108" r:id="rId104" display="https://www.unboxhealth.in/explore/product/myfitness-peanut-butter-smooth---chocolate/871b47fd-5a03-4aa8-a5dd-48076d623915"/>
    <hyperlink ref="L109" r:id="rId105" display="https://www.unboxhealth.in/explore/product/pintola-all-natural-peanut-butter-crunchy/17e27466-bfd7-4200-99f3-e09d75c5d2c3"/>
    <hyperlink ref="L110" r:id="rId106" display="https://www.trustified.in/passandfail/pintolapeanutbutter"/>
    <hyperlink ref="L111" r:id="rId107" display="https://www.trustified.in/passandfail/sundroppeanutbutter"/>
    <hyperlink ref="L112" r:id="rId108" display="https://www.unboxhealth.in/explore/product/sundrop-peanut-butter-creamy/67ef698f-d862-46c9-8d11-bcf47af23f65"/>
    <hyperlink ref="L113" r:id="rId109" display="https://www.trustified.in/passandfail/thebutternutcopeanut"/>
    <hyperlink ref="L114" r:id="rId110" display="https://www.unboxhealth.in/explore/product/the-butternut-co-peanut-butter-crunchy/f4afe028-30fa-444e-8778-ba39dbce8f1d"/>
    <hyperlink ref="L115" r:id="rId111" display="https://www.unboxhealth.in/explore/product/the-whole-truth-peanut-butter-crunchy---dark-chocolate/37e9e113-3f50-4ec7-9c7a-7d52ab6ccdc8"/>
    <hyperlink ref="L116" r:id="rId112" display="https://www.unboxhealth.in/explore/product/yogabar-peanut-butter-creamy---dark-chocolate/e1be62d8-224e-42cf-b13e-99a7b9d73f36"/>
    <hyperlink ref="L117" r:id="rId113" display="https://www.trustified.in/nmr-reports/apishoney"/>
    <hyperlink ref="L118" r:id="rId114" display="https://www.trustified.in/nmr-reports/patanjali"/>
    <hyperlink ref="L119" r:id="rId115" display="https://www.trustified.in/nmr-reports/saffolahoney"/>
    <hyperlink ref="L120" r:id="rId116" display="https://www.trustified.in/nmr-reports/saffola"/>
    <hyperlink ref="L121" r:id="rId117" display="https://www.trustified.in/nmr-reports/vedakahoney"/>
    <hyperlink ref="L122" r:id="rId118" display="https://www.trustified.in/nmr-reports/zandu"/>
    <hyperlink ref="L123" r:id="rId119" display="https://www.unboxhealth.in/explore/product/42b52d7c-2afc-4af6-bb4c-7721969efafd"/>
    <hyperlink ref="L124" r:id="rId120" display="https://www.unboxhealth.in/explore/product/a9ef5cfb-a903-40ab-9f33-fa2763b5320a"/>
    <hyperlink ref="L125" r:id="rId121" display="https://www.unboxhealth.in/explore/product/e84c19ab-7d5e-4830-81a3-69b687edca4f"/>
    <hyperlink ref="L126" r:id="rId122" display="https://www.trustified.in/passandfail/ritebite"/>
    <hyperlink ref="L127" r:id="rId123" display="https://www.unboxhealth.in/explore/product/36f257db-5019-4eb1-a3e7-d5c240d8e091"/>
    <hyperlink ref="L128" r:id="rId124" display="https://www.unboxhealth.in/explore/product/superyou-mega-protein-wafer-nutty-chocolate/4c3ca09e-57c8-4b1d-9fa4-e8230ab3bd9e"/>
    <hyperlink ref="L129" r:id="rId125" display="https://www.trustified.in/passandfail/the-whole-truth-protein-bar-main"/>
    <hyperlink ref="L130" r:id="rId126" display="https://www.unboxhealth.in/explore/product/43aca21b-4895-4239-8312-a4f5c0fcccb5"/>
    <hyperlink ref="L131" r:id="rId127" display="https://www.unboxhealth.in/explore/product/the-whole-truth-protein-bar-double-cocoa/e2d0aacc-c233-4d3b-b5e0-c98e8186c530"/>
    <hyperlink ref="L132" r:id="rId128" display="https://www.unboxhealth.in/explore/product/45ff54a3-efa3-4b87-8c72-7b404b005ee9"/>
    <hyperlink ref="L133" r:id="rId129" display="https://www.trustified.in/passandfail/Americanzmusclesprotein"/>
    <hyperlink ref="L134" r:id="rId130" display="https://www.trustified.in/passandfail/atompowerwheyexpired"/>
    <hyperlink ref="L135" r:id="rId131" display="https://www.trustified.in/passandfail/asitis--whey-isolate"/>
    <hyperlink ref="L136" r:id="rId132" display="https://www.trustified.in/passandfail/avvatarperformance100"/>
    <hyperlink ref="L137" r:id="rId133" display="https://www.trustified.in/passandfail/avvatarfuelwhey"/>
    <hyperlink ref="L138" r:id="rId134" display="https://www.trustified.in/passandfail/blackbeastwheyprotein"/>
    <hyperlink ref="L139" r:id="rId135" display="https://www.trustified.in/passandfail/cutlernutritionwhey"/>
    <hyperlink ref="L140" r:id="rId136" display="https://www.trustified.in/passandfail/esnleanwhey"/>
    <hyperlink ref="L141" r:id="rId137" display="https://www.trustified.in/passandfail/exaltprioritywheyprotein"/>
    <hyperlink ref="L142" r:id="rId138" display="https://www.trustified.in/passandfail/explosivewheyexpired"/>
    <hyperlink ref="L143" r:id="rId139" display="https://www.trustified.in/passandfail/foodstrongwheyexpired"/>
    <hyperlink ref="L144" r:id="rId140" display="https://www.trustified.in/passandfail/fuelledwheyprotein"/>
    <hyperlink ref="L145" r:id="rId141" display="https://www.trustified.in/passandfail/fuelone-main"/>
    <hyperlink ref="L146" r:id="rId142" display="https://www.trustified.in/passandfail/gentlebeastwheyprotein"/>
    <hyperlink ref="L147" r:id="rId143" display="https://www.trustified.in/passandfail/healthfarmisopro"/>
    <hyperlink ref="L148" r:id="rId144" display="https://www.trustified.in/passandfail/Janaushadhiwhey"/>
    <hyperlink ref="L149" r:id="rId145" display="https://www.trustified.in/passandfail/maxener-wellness-expired"/>
    <hyperlink ref="L150" r:id="rId146" display="https://www.trustified.in/passandfail/muscleclubwhey"/>
    <hyperlink ref="L151" r:id="rId147" display="https://www.trustified.in/passandfail/muscledominator"/>
    <hyperlink ref="L152" r:id="rId148" display="https://www.trustified.in/passandfail/musclegearswhey"/>
    <hyperlink ref="L153" r:id="rId149" display="https://www.trustified.in/passandfail/biozymegoldwhey100"/>
    <hyperlink ref="L154" r:id="rId150" display="https://www.trustified.in/passandfail/muscleblaze-iso-zero"/>
    <hyperlink ref="L155" r:id="rId151" display="https://www.trustified.in/passandfail/biozyme-performance-whey"/>
    <hyperlink ref="L156" r:id="rId152" display="https://www.trustified.in/passandfail/biozymewheyPR"/>
    <hyperlink ref="L157" r:id="rId153" display="https://www.trustified.in/passandfail/muscleblaze-whey-gold-main"/>
    <hyperlink ref="L158" r:id="rId154" display="https://www.trustified.in/passandfail/musclenectarisolatetest3"/>
    <hyperlink ref="L159" r:id="rId155" display="https://www.trustified.in/passandfail/nakproimpactwhey"/>
    <hyperlink ref="L160" r:id="rId156" display="https://www.trustified.in/passandfail/maxwheyprotein"/>
    <hyperlink ref="L161" r:id="rId157" display="https://www.trustified.in/passandfail/naturalteinisoboost"/>
    <hyperlink ref="L162" r:id="rId158" display="https://www.trustified.in/passandfail/nutrabay"/>
    <hyperlink ref="L163" r:id="rId159" display="https://www.trustified.in/passandfail/nutrovaisolateblendexpired"/>
    <hyperlink ref="L164" r:id="rId160" display="https://www.trustified.in/passandfail/onesciencenutrition"/>
    <hyperlink ref="L165" r:id="rId161" display="https://www.trustified.in/passandfail/ownwheyprotein"/>
    <hyperlink ref="L166" r:id="rId162" display="https://www.trustified.in/passandfail/osoaaimpactwheyexpired"/>
    <hyperlink ref="L167" r:id="rId163" display="https://www.trustified.in/passandfail/runmusclewhey-expired"/>
    <hyperlink ref="L168" r:id="rId164" display="https://www.trustified.in/passandfail/ripped-up-nutrition-expired"/>
    <hyperlink ref="L169" r:id="rId165" display="https://www.trustified.in/passandfail/Ronniecoleman"/>
    <hyperlink ref="L170" r:id="rId166" display="https://www.trustified.in/passandfail/tata1mgcleanwhey"/>
    <hyperlink ref="L171" r:id="rId167" display="https://www.trustified.in/passandfail/the-whole-truth-concentrate"/>
    <hyperlink ref="L172" r:id="rId168" display="https://www.trustified.in/passandfail/twtrawwheyisolate"/>
    <hyperlink ref="L173" r:id="rId169" display="https://www.unboxhealth.in/explore"/>
    <hyperlink ref="L174" r:id="rId170" display="https://drive.google.com/file/d/1FA1ybRVtSvEBnxzhWx-4xROwvXd_K9Yf/view?usp=drivesdk"/>
    <hyperlink ref="L175" r:id="rId171" display="https://drive.google.com/file/d/1ulsQZl4m-qHU6JZHNEfW6WN5ywskjxdy/view?usp=drivesdk"/>
    <hyperlink ref="L176" r:id="rId172" display="https://drive.google.com/file/d/1WbE_p-vUgY4iL-zmS1F5Y-1bjbnf7AF2/view?usp=drivesdk"/>
    <hyperlink ref="L177" r:id="rId173" display="https://drive.google.com/file/d/1xK-VxzsZWNiQZYeBcbcBoeQjZCEa_MRe/view?usp=drivesdk"/>
    <hyperlink ref="L178" r:id="rId174" display="https://drive.google.com/file/d/1pFTIqUMK3KqON3iqgkNj6Icf-Jnm8CzS/view?usp=drivesdk"/>
    <hyperlink ref="L179" r:id="rId175" display="https://www.trustified.in/passandfail/totalnutrition"/>
    <hyperlink ref="L180" r:id="rId176" display="https://www.trustified.in/passandfail/trikutwheyprotein"/>
    <hyperlink ref="L181" r:id="rId177" display="https://www.trustified.in/passandfail/truebasiccleanisolate"/>
    <hyperlink ref="L182" r:id="rId178" display="https://www.trustified.in/passandfail/cleanwheyprotein"/>
    <hyperlink ref="L183" r:id="rId179" display="https://www.trustified.in/passandfail/trunativwheyblendpro"/>
    <hyperlink ref="L184" r:id="rId180" display="https://www.trustified.in/passandfail/xlr8performancewhey-expired"/>
    <hyperlink ref="L185" r:id="rId181" display="https://www.trustified.in/passandfail/Xlr8wheyproteintest"/>
    <hyperlink ref="L186" r:id="rId182" display="https://www.trustified.in/passandfail/yogabarcleanwhey"/>
    <hyperlink ref="L187" r:id="rId183" display="https://www.trustified.in/passandfail/alpinopeanutprotein1"/>
    <hyperlink ref="L188" r:id="rId184" display="https://www.trustified.in/passandfail/alpinopeanutprotein"/>
    <hyperlink ref="L189" r:id="rId185" display="https://www.trustified.in/passandfail/asitissoyisolateprotein"/>
    <hyperlink ref="L190" r:id="rId186" display="https://www.trustified.in/passandfail/milleplantprotein25g"/>
    <hyperlink ref="L191" r:id="rId187" display="https://www.trustified.in/passandfail/milleplantprotein31g"/>
    <hyperlink ref="L192" r:id="rId188" display="https://www.trustified.in/passandfail/nakproplantprotein"/>
    <hyperlink ref="L193" r:id="rId189" display="https://www.trustified.in/passandfail/naturaltein-plant-protein"/>
    <hyperlink ref="L194" r:id="rId190" display="https://www.trustified.in/passandfail/naturalteinyesprotein"/>
    <hyperlink ref="L195" r:id="rId191" display="https://www.trustified.in/passandfail/nutrabaypeaprotein"/>
    <hyperlink ref="L196" r:id="rId192" display="https://www.trustified.in/passandfail/nutrabaypeaprotein"/>
    <hyperlink ref="L197" r:id="rId193" display="https://www.trustified.in/passandfail/nutrabayyeastprotein"/>
    <hyperlink ref="L198" r:id="rId194" display="https://www.trustified.in/passandfail/nutraboxsoyprotein"/>
    <hyperlink ref="L199" r:id="rId195" display="https://www.trustified.in/passandfail/nutraboxveganprotein"/>
    <hyperlink ref="L200" r:id="rId196" display="https://www.trustified.in/passandfail/superyouyeastprotein"/>
    <hyperlink ref="L201" r:id="rId197" display="https://drive.google.com/file/d/1Uo2VI3xbUWcSMs4FwDXX3Au5nYjKbmZO/view?usp=drivesdk"/>
    <hyperlink ref="L202" r:id="rId198" display="https://www.trustified.in/passandfail/truebasicsplantprotein"/>
    <hyperlink ref="L203" r:id="rId199" display="https://www.trustified.in/passandfail/mbxtremepreworkout"/>
    <hyperlink ref="L204" r:id="rId200" display="https://www.trustified.in/passandfail/muscleblazepreworkout"/>
    <hyperlink ref="L205" r:id="rId201" display="https://www.trustified.in/passandfail/naturalteinpure07"/>
    <hyperlink ref="L206" r:id="rId202" display="https://www.trustified.in/passandfail/asitis-atom-creatine"/>
    <hyperlink ref="L207" r:id="rId203" display="https://www.trustified.in/passandfail/creasurecreatinemonohydrate"/>
    <hyperlink ref="L208" r:id="rId204" display="https://www.trustified.in/passandfail/asitisonecreatine"/>
    <hyperlink ref="L209" r:id="rId205" display="https://www.trustified.in/passandfail/avvatarcreatinemonohydrate"/>
    <hyperlink ref="L210" r:id="rId206" display="https://www.trustified.in/passandfail/blackbeastcreatinemonohydrate"/>
    <hyperlink ref="L211" r:id="rId207" display="https://www.trustified.in/passandfail/manmattersgummies"/>
    <hyperlink ref="L212" r:id="rId208" display="https://www.trustified.in/passandfail/musclenectarcreatinemonohydrate"/>
    <hyperlink ref="L213" r:id="rId209" display="https://www.trustified.in/passandfail/naturaltein-crea-boost"/>
    <hyperlink ref="L214" r:id="rId210" display="https://www.trustified.in/passandfail/naturalteincreamag"/>
    <hyperlink ref="L215" r:id="rId211" display="https://www.trustified.in/passandfail/alphacreatine"/>
    <hyperlink ref="L216" r:id="rId212" display="https://www.trustified.in/passandfail/smashcreatine"/>
    <hyperlink ref="L217" r:id="rId213" display="https://www.trustified.in/passandfail/superyoucreatine"/>
    <hyperlink ref="L218" r:id="rId214" display="https://www.trustified.in/passandfail/tata1mgcreatine"/>
    <hyperlink ref="L219" r:id="rId215" display="https://www.trustified.in/passandfail/alkemuprised3capsule"/>
    <hyperlink ref="L220" r:id="rId216" display="https://www.trustified.in/passandfail/Becadexaminemultivitamins"/>
    <hyperlink ref="L221" r:id="rId217" display="https://www.trustified.in/passandfail/bluvitd3sachets"/>
    <hyperlink ref="L222" r:id="rId218" display="https://www.trustified.in/passandfail/centrummenmultivitamin"/>
    <hyperlink ref="L223" r:id="rId219" display="https://www.trustified.in/passandfail/hkvitalsmagnesium"/>
    <hyperlink ref="L224" r:id="rId220" display="https://www.trustified.in/passandfail/muscleblaze-multivitamintest"/>
    <hyperlink ref="L225" r:id="rId221" display="https://www.trustified.in/passandfail/muscleblazemultivitamins"/>
    <hyperlink ref="L226" r:id="rId222" display="https://www.trustified.in/passandfail/naturalteinmagnesiumglycinate"/>
    <hyperlink ref="L227" r:id="rId223" display="https://www.trustified.in/passandfail/nutrijetmagnesium3in1"/>
    <hyperlink ref="L228" r:id="rId224" display="https://www.trustified.in/passandfail/haleupomega3"/>
    <hyperlink ref="L229" r:id="rId225" display="https://www.trustified.in/passandfail/naturaltein-omega-3"/>
    <hyperlink ref="L230" r:id="rId226" display="https://www.trustified.in/passandfail/naturalteinveganomega"/>
    <hyperlink ref="L231" r:id="rId227" display="https://www.trustified.in/passandfail/nutrabay-pro-fish-oil-omega-main"/>
    <hyperlink ref="L232" r:id="rId228" display="https://www.trustified.in/passandfail/pureservingomega3"/>
    <hyperlink ref="L233" r:id="rId229" display="https://www.trustified.in/passandfail/rawrxveganomega"/>
    <hyperlink ref="L234" r:id="rId230" display="https://www.trustified.in/passandfail/tata1mgomega3"/>
    <hyperlink ref="L235" r:id="rId231" display="https://www.trustified.in/passandfail/zavedaomega3"/>
    <hyperlink ref="L236" r:id="rId232" display="https://www.trustified.in/passandfail/zeroharmomega"/>
    <hyperlink ref="L237" r:id="rId233" display="https://www.trustified.in/passandfail/amyleordglutathione"/>
    <hyperlink ref="L238" r:id="rId234" display="https://www.trustified.in/passandfail/isabgol"/>
    <hyperlink ref="L239" r:id="rId235" display="https://www.trustified.in/passandfail/vaidyaapplecidervinegar"/>
    <hyperlink ref="L240" r:id="rId236" display="https://www.trustified.in/passandfail/mbkoshaveda"/>
    <hyperlink ref="L241" r:id="rId237" display="https://www.trustified.in/passandfail/nutriquintmelatonin"/>
    <hyperlink ref="L242" r:id="rId238" display="https://www.trustified.in/passandfail/plantbasedovegha"/>
    <hyperlink ref="L243" r:id="rId239" display="https://www.trustified.in/passandfail/nestlenanpro"/>
    <hyperlink ref="L244" r:id="rId240" display="https://www.trustified.in/passandfail/abottpediasure"/>
    <hyperlink ref="L245" r:id="rId241" display="https://www.trustified.in/passandfail/supermilk2to6year"/>
    <hyperlink ref="L246" r:id="rId242" display="https://www.trustified.in/passandfail/gritzoforboys"/>
    <hyperlink ref="L247" r:id="rId243" display="https://www.trustified.in/passandfail/gritzoforboys13years"/>
    <hyperlink ref="L248" r:id="rId244" display="https://www.trustified.in/passandfail/gritzoforgirls"/>
    <hyperlink ref="L249" r:id="rId245" display="https://www.trustified.in/passandfail/gritzoforgirls13years"/>
  </hyperlinks>
  <printOptions headings="false" gridLines="false" gridLinesSet="true" horizontalCentered="false" verticalCentered="false"/>
  <pageMargins left="0.4" right="0.4" top="0.5" bottom="0.5" header="0.511811023622047" footer="0.511811023622047"/>
  <pageSetup paperSize="9" scale="100" fitToWidth="2" fitToHeight="0" pageOrder="downThenOver" orientation="landscape" blackAndWhite="false" draft="false" cellComments="none" horizontalDpi="300" verticalDpi="300" copies="1"/>
  <headerFooter differentFirst="false" differentOddEven="false">
    <oddHeader/>
    <oddFooter/>
  </headerFooter>
  <drawing r:id="rId24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I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11"/>
    <col collapsed="false" customWidth="true" hidden="false" outlineLevel="0" max="4" min="4" style="0" width="58"/>
    <col collapsed="false" customWidth="true" hidden="false" outlineLevel="0" max="5" min="5" style="0" width="12"/>
    <col collapsed="false" customWidth="true" hidden="false" outlineLevel="0" max="6" min="6" style="0" width="15"/>
    <col collapsed="false" customWidth="true" hidden="false" outlineLevel="0" max="7" min="7" style="0" width="12"/>
    <col collapsed="false" customWidth="true" hidden="false" outlineLevel="0" max="8" min="8" style="0" width="48"/>
    <col collapsed="false" customWidth="true" hidden="false" outlineLevel="0" max="9" min="9" style="0" width="46"/>
  </cols>
  <sheetData>
    <row r="1" customFormat="false" ht="21.75" hidden="false" customHeight="true" outlineLevel="0" collapsed="false">
      <c r="A1" s="1" t="s">
        <v>1341</v>
      </c>
    </row>
    <row r="2" customFormat="false" ht="15" hidden="false" customHeight="false" outlineLevel="0" collapsed="false">
      <c r="A2" s="2" t="s">
        <v>1342</v>
      </c>
    </row>
    <row r="4" customFormat="false" ht="31.5" hidden="false" customHeight="true" outlineLevel="0" collapsed="false">
      <c r="A4" s="11" t="s">
        <v>129</v>
      </c>
      <c r="B4" s="11" t="s">
        <v>1343</v>
      </c>
      <c r="C4" s="11" t="s">
        <v>1344</v>
      </c>
      <c r="D4" s="11" t="s">
        <v>1345</v>
      </c>
      <c r="E4" s="11" t="s">
        <v>1346</v>
      </c>
      <c r="F4" s="11" t="s">
        <v>1347</v>
      </c>
      <c r="G4" s="11" t="s">
        <v>1348</v>
      </c>
      <c r="H4" s="11" t="s">
        <v>1349</v>
      </c>
      <c r="I4" s="11" t="s">
        <v>140</v>
      </c>
    </row>
    <row r="5" customFormat="false" ht="15" hidden="false" customHeight="false" outlineLevel="0" collapsed="false">
      <c r="A5" s="7" t="s">
        <v>161</v>
      </c>
      <c r="B5" s="6" t="s">
        <v>1350</v>
      </c>
      <c r="C5" s="12" t="s">
        <v>131</v>
      </c>
      <c r="D5" s="6" t="s">
        <v>1351</v>
      </c>
      <c r="E5" s="26" t="n">
        <v>1214721</v>
      </c>
      <c r="F5" s="12" t="s">
        <v>1352</v>
      </c>
      <c r="G5" s="13" t="n">
        <v>46297</v>
      </c>
      <c r="H5" s="10" t="s">
        <v>1353</v>
      </c>
      <c r="I5" s="6" t="s">
        <v>1354</v>
      </c>
    </row>
    <row r="6" customFormat="false" ht="15" hidden="false" customHeight="false" outlineLevel="0" collapsed="false">
      <c r="A6" s="7" t="s">
        <v>161</v>
      </c>
      <c r="B6" s="6" t="s">
        <v>1350</v>
      </c>
      <c r="C6" s="12" t="s">
        <v>133</v>
      </c>
      <c r="D6" s="6" t="s">
        <v>1355</v>
      </c>
      <c r="E6" s="26" t="n">
        <v>51556</v>
      </c>
      <c r="F6" s="12" t="s">
        <v>1352</v>
      </c>
      <c r="G6" s="13" t="n">
        <v>46297</v>
      </c>
      <c r="H6" s="10" t="s">
        <v>1356</v>
      </c>
      <c r="I6" s="6"/>
    </row>
    <row r="7" customFormat="false" ht="15" hidden="false" customHeight="false" outlineLevel="0" collapsed="false">
      <c r="A7" s="7" t="s">
        <v>161</v>
      </c>
      <c r="B7" s="6" t="s">
        <v>1350</v>
      </c>
      <c r="C7" s="12" t="s">
        <v>130</v>
      </c>
      <c r="D7" s="6" t="s">
        <v>1357</v>
      </c>
      <c r="E7" s="26"/>
      <c r="F7" s="12" t="s">
        <v>1352</v>
      </c>
      <c r="G7" s="13" t="n">
        <v>46297</v>
      </c>
      <c r="H7" s="10" t="s">
        <v>1358</v>
      </c>
      <c r="I7" s="6"/>
    </row>
    <row r="8" customFormat="false" ht="15" hidden="false" customHeight="false" outlineLevel="0" collapsed="false">
      <c r="A8" s="7" t="s">
        <v>161</v>
      </c>
      <c r="B8" s="6" t="s">
        <v>1350</v>
      </c>
      <c r="C8" s="12" t="s">
        <v>133</v>
      </c>
      <c r="D8" s="6" t="s">
        <v>1359</v>
      </c>
      <c r="E8" s="26"/>
      <c r="F8" s="12" t="s">
        <v>1352</v>
      </c>
      <c r="G8" s="13" t="n">
        <v>46297</v>
      </c>
      <c r="H8" s="10" t="s">
        <v>1360</v>
      </c>
      <c r="I8" s="6"/>
    </row>
    <row r="9" customFormat="false" ht="15" hidden="false" customHeight="false" outlineLevel="0" collapsed="false">
      <c r="A9" s="7" t="s">
        <v>151</v>
      </c>
      <c r="B9" s="6" t="s">
        <v>1361</v>
      </c>
      <c r="C9" s="12" t="s">
        <v>131</v>
      </c>
      <c r="D9" s="6" t="s">
        <v>1362</v>
      </c>
      <c r="E9" s="26" t="n">
        <v>1581833</v>
      </c>
      <c r="F9" s="12" t="s">
        <v>1352</v>
      </c>
      <c r="G9" s="13" t="n">
        <v>46297</v>
      </c>
      <c r="H9" s="10" t="s">
        <v>1363</v>
      </c>
      <c r="I9" s="6"/>
    </row>
    <row r="10" customFormat="false" ht="15" hidden="false" customHeight="false" outlineLevel="0" collapsed="false">
      <c r="A10" s="7" t="s">
        <v>151</v>
      </c>
      <c r="B10" s="6" t="s">
        <v>1361</v>
      </c>
      <c r="C10" s="12" t="s">
        <v>131</v>
      </c>
      <c r="D10" s="6" t="s">
        <v>1364</v>
      </c>
      <c r="E10" s="26" t="n">
        <v>914480</v>
      </c>
      <c r="F10" s="12" t="s">
        <v>1352</v>
      </c>
      <c r="G10" s="13" t="n">
        <v>46297</v>
      </c>
      <c r="H10" s="10" t="s">
        <v>1365</v>
      </c>
      <c r="I10" s="6"/>
    </row>
    <row r="11" customFormat="false" ht="15" hidden="false" customHeight="false" outlineLevel="0" collapsed="false">
      <c r="A11" s="7" t="s">
        <v>151</v>
      </c>
      <c r="B11" s="6" t="s">
        <v>1361</v>
      </c>
      <c r="C11" s="12" t="s">
        <v>130</v>
      </c>
      <c r="D11" s="6" t="s">
        <v>1366</v>
      </c>
      <c r="E11" s="26"/>
      <c r="F11" s="12" t="s">
        <v>1352</v>
      </c>
      <c r="G11" s="13" t="n">
        <v>46297</v>
      </c>
      <c r="H11" s="10" t="s">
        <v>1367</v>
      </c>
      <c r="I11" s="6"/>
    </row>
    <row r="12" customFormat="false" ht="15" hidden="false" customHeight="false" outlineLevel="0" collapsed="false">
      <c r="A12" s="7" t="s">
        <v>151</v>
      </c>
      <c r="B12" s="6" t="s">
        <v>1361</v>
      </c>
      <c r="C12" s="12" t="s">
        <v>133</v>
      </c>
      <c r="D12" s="6" t="s">
        <v>1368</v>
      </c>
      <c r="E12" s="26"/>
      <c r="F12" s="12" t="s">
        <v>1352</v>
      </c>
      <c r="G12" s="13" t="n">
        <v>46297</v>
      </c>
      <c r="H12" s="10" t="s">
        <v>1369</v>
      </c>
      <c r="I12" s="6"/>
    </row>
    <row r="13" customFormat="false" ht="15" hidden="false" customHeight="false" outlineLevel="0" collapsed="false">
      <c r="A13" s="7" t="s">
        <v>178</v>
      </c>
      <c r="B13" s="6" t="s">
        <v>1370</v>
      </c>
      <c r="C13" s="12" t="s">
        <v>131</v>
      </c>
      <c r="D13" s="6" t="s">
        <v>1371</v>
      </c>
      <c r="E13" s="26" t="n">
        <v>302321</v>
      </c>
      <c r="F13" s="12" t="s">
        <v>1352</v>
      </c>
      <c r="G13" s="13" t="n">
        <v>46297</v>
      </c>
      <c r="H13" s="10" t="s">
        <v>1372</v>
      </c>
      <c r="I13" s="6"/>
    </row>
    <row r="14" customFormat="false" ht="15" hidden="false" customHeight="false" outlineLevel="0" collapsed="false">
      <c r="A14" s="7" t="s">
        <v>178</v>
      </c>
      <c r="B14" s="6" t="s">
        <v>1370</v>
      </c>
      <c r="C14" s="12" t="s">
        <v>130</v>
      </c>
      <c r="D14" s="6" t="s">
        <v>1373</v>
      </c>
      <c r="E14" s="26"/>
      <c r="F14" s="12" t="s">
        <v>1352</v>
      </c>
      <c r="G14" s="13" t="n">
        <v>46297</v>
      </c>
      <c r="H14" s="10" t="s">
        <v>1374</v>
      </c>
      <c r="I14" s="6"/>
    </row>
    <row r="15" customFormat="false" ht="15" hidden="false" customHeight="false" outlineLevel="0" collapsed="false">
      <c r="A15" s="7" t="s">
        <v>178</v>
      </c>
      <c r="B15" s="6" t="s">
        <v>1370</v>
      </c>
      <c r="C15" s="12" t="s">
        <v>132</v>
      </c>
      <c r="D15" s="6" t="s">
        <v>1370</v>
      </c>
      <c r="E15" s="26"/>
      <c r="F15" s="12" t="s">
        <v>1352</v>
      </c>
      <c r="G15" s="13" t="n">
        <v>46297</v>
      </c>
      <c r="H15" s="10" t="s">
        <v>1375</v>
      </c>
      <c r="I15" s="6"/>
    </row>
    <row r="16" customFormat="false" ht="15" hidden="false" customHeight="false" outlineLevel="0" collapsed="false">
      <c r="A16" s="7" t="s">
        <v>178</v>
      </c>
      <c r="B16" s="6" t="s">
        <v>1370</v>
      </c>
      <c r="C16" s="12" t="s">
        <v>133</v>
      </c>
      <c r="D16" s="6" t="s">
        <v>1376</v>
      </c>
      <c r="E16" s="26"/>
      <c r="F16" s="12" t="s">
        <v>1352</v>
      </c>
      <c r="G16" s="13" t="n">
        <v>46297</v>
      </c>
      <c r="H16" s="10" t="s">
        <v>1377</v>
      </c>
      <c r="I16" s="6"/>
    </row>
    <row r="17" customFormat="false" ht="15" hidden="false" customHeight="false" outlineLevel="0" collapsed="false">
      <c r="A17" s="7" t="s">
        <v>172</v>
      </c>
      <c r="B17" s="6" t="s">
        <v>1378</v>
      </c>
      <c r="C17" s="12" t="s">
        <v>131</v>
      </c>
      <c r="D17" s="6" t="s">
        <v>1379</v>
      </c>
      <c r="E17" s="26" t="n">
        <v>13966</v>
      </c>
      <c r="F17" s="12" t="s">
        <v>1352</v>
      </c>
      <c r="G17" s="13" t="n">
        <v>46297</v>
      </c>
      <c r="H17" s="10" t="s">
        <v>1380</v>
      </c>
      <c r="I17" s="6"/>
    </row>
    <row r="18" customFormat="false" ht="23.85" hidden="false" customHeight="false" outlineLevel="0" collapsed="false">
      <c r="A18" s="7" t="s">
        <v>172</v>
      </c>
      <c r="B18" s="6" t="s">
        <v>1378</v>
      </c>
      <c r="C18" s="12" t="s">
        <v>131</v>
      </c>
      <c r="D18" s="6" t="s">
        <v>1381</v>
      </c>
      <c r="E18" s="26" t="n">
        <v>10744</v>
      </c>
      <c r="F18" s="12" t="s">
        <v>1352</v>
      </c>
      <c r="G18" s="13" t="n">
        <v>46297</v>
      </c>
      <c r="H18" s="10" t="s">
        <v>1382</v>
      </c>
      <c r="I18" s="6" t="s">
        <v>1383</v>
      </c>
    </row>
    <row r="19" customFormat="false" ht="15" hidden="false" customHeight="false" outlineLevel="0" collapsed="false">
      <c r="A19" s="7" t="s">
        <v>172</v>
      </c>
      <c r="B19" s="6" t="s">
        <v>1378</v>
      </c>
      <c r="C19" s="12" t="s">
        <v>130</v>
      </c>
      <c r="D19" s="6" t="s">
        <v>1384</v>
      </c>
      <c r="E19" s="26"/>
      <c r="F19" s="12" t="s">
        <v>1352</v>
      </c>
      <c r="G19" s="13" t="n">
        <v>46297</v>
      </c>
      <c r="H19" s="10" t="s">
        <v>1385</v>
      </c>
      <c r="I19" s="6"/>
    </row>
    <row r="20" customFormat="false" ht="15" hidden="false" customHeight="false" outlineLevel="0" collapsed="false">
      <c r="A20" s="7" t="s">
        <v>172</v>
      </c>
      <c r="B20" s="6" t="s">
        <v>1378</v>
      </c>
      <c r="C20" s="12" t="s">
        <v>132</v>
      </c>
      <c r="D20" s="6" t="s">
        <v>1386</v>
      </c>
      <c r="E20" s="26"/>
      <c r="F20" s="12" t="s">
        <v>1352</v>
      </c>
      <c r="G20" s="13" t="n">
        <v>46297</v>
      </c>
      <c r="H20" s="10" t="s">
        <v>1387</v>
      </c>
      <c r="I20" s="6"/>
    </row>
    <row r="21" customFormat="false" ht="15" hidden="false" customHeight="false" outlineLevel="0" collapsed="false">
      <c r="A21" s="7" t="s">
        <v>190</v>
      </c>
      <c r="B21" s="6" t="s">
        <v>1388</v>
      </c>
      <c r="C21" s="12" t="s">
        <v>131</v>
      </c>
      <c r="D21" s="6" t="s">
        <v>1389</v>
      </c>
      <c r="E21" s="26" t="n">
        <v>103152</v>
      </c>
      <c r="F21" s="12" t="s">
        <v>1352</v>
      </c>
      <c r="G21" s="13" t="n">
        <v>46297</v>
      </c>
      <c r="H21" s="10" t="s">
        <v>1390</v>
      </c>
      <c r="I21" s="6" t="s">
        <v>1391</v>
      </c>
    </row>
    <row r="22" customFormat="false" ht="15" hidden="false" customHeight="false" outlineLevel="0" collapsed="false">
      <c r="A22" s="7" t="s">
        <v>190</v>
      </c>
      <c r="B22" s="6" t="s">
        <v>1388</v>
      </c>
      <c r="C22" s="12" t="s">
        <v>133</v>
      </c>
      <c r="D22" s="6" t="s">
        <v>1392</v>
      </c>
      <c r="E22" s="26" t="n">
        <v>31485</v>
      </c>
      <c r="F22" s="12" t="s">
        <v>1352</v>
      </c>
      <c r="G22" s="13" t="n">
        <v>46297</v>
      </c>
      <c r="H22" s="10" t="s">
        <v>1393</v>
      </c>
      <c r="I22" s="6"/>
    </row>
    <row r="23" customFormat="false" ht="15" hidden="false" customHeight="false" outlineLevel="0" collapsed="false">
      <c r="A23" s="7" t="s">
        <v>190</v>
      </c>
      <c r="B23" s="6" t="s">
        <v>1388</v>
      </c>
      <c r="C23" s="12" t="s">
        <v>133</v>
      </c>
      <c r="D23" s="6" t="s">
        <v>1394</v>
      </c>
      <c r="E23" s="26" t="n">
        <v>29156</v>
      </c>
      <c r="F23" s="12" t="s">
        <v>1352</v>
      </c>
      <c r="G23" s="13" t="n">
        <v>46297</v>
      </c>
      <c r="H23" s="10" t="s">
        <v>1395</v>
      </c>
      <c r="I23" s="6" t="s">
        <v>1396</v>
      </c>
    </row>
    <row r="24" customFormat="false" ht="15" hidden="false" customHeight="false" outlineLevel="0" collapsed="false">
      <c r="A24" s="7" t="s">
        <v>184</v>
      </c>
      <c r="B24" s="6" t="s">
        <v>1397</v>
      </c>
      <c r="C24" s="12" t="s">
        <v>130</v>
      </c>
      <c r="D24" s="6" t="s">
        <v>1398</v>
      </c>
      <c r="E24" s="26" t="n">
        <v>660000</v>
      </c>
      <c r="F24" s="12" t="s">
        <v>1352</v>
      </c>
      <c r="G24" s="13" t="n">
        <v>46297</v>
      </c>
      <c r="H24" s="10" t="s">
        <v>1399</v>
      </c>
      <c r="I24" s="6" t="s">
        <v>1400</v>
      </c>
    </row>
    <row r="25" customFormat="false" ht="15" hidden="false" customHeight="false" outlineLevel="0" collapsed="false">
      <c r="A25" s="7" t="s">
        <v>266</v>
      </c>
      <c r="B25" s="6" t="s">
        <v>1401</v>
      </c>
      <c r="C25" s="12" t="s">
        <v>131</v>
      </c>
      <c r="D25" s="6" t="s">
        <v>1402</v>
      </c>
      <c r="E25" s="26" t="n">
        <v>144000</v>
      </c>
      <c r="F25" s="12" t="s">
        <v>1352</v>
      </c>
      <c r="G25" s="13" t="n">
        <v>46297</v>
      </c>
      <c r="H25" s="10" t="s">
        <v>1403</v>
      </c>
      <c r="I25" s="6"/>
    </row>
    <row r="26" customFormat="false" ht="15" hidden="false" customHeight="false" outlineLevel="0" collapsed="false">
      <c r="A26" s="7" t="s">
        <v>266</v>
      </c>
      <c r="B26" s="6" t="s">
        <v>1401</v>
      </c>
      <c r="C26" s="12" t="s">
        <v>130</v>
      </c>
      <c r="D26" s="6" t="s">
        <v>1404</v>
      </c>
      <c r="E26" s="26"/>
      <c r="F26" s="12" t="s">
        <v>1352</v>
      </c>
      <c r="G26" s="13" t="n">
        <v>46297</v>
      </c>
      <c r="H26" s="10" t="s">
        <v>1405</v>
      </c>
      <c r="I26" s="6"/>
    </row>
    <row r="27" customFormat="false" ht="23.85" hidden="false" customHeight="false" outlineLevel="0" collapsed="false">
      <c r="A27" s="7" t="s">
        <v>266</v>
      </c>
      <c r="B27" s="6" t="s">
        <v>1401</v>
      </c>
      <c r="C27" s="12" t="s">
        <v>132</v>
      </c>
      <c r="D27" s="6" t="s">
        <v>1406</v>
      </c>
      <c r="E27" s="26"/>
      <c r="F27" s="12" t="s">
        <v>1407</v>
      </c>
      <c r="G27" s="13" t="n">
        <v>46297</v>
      </c>
      <c r="H27" s="10" t="s">
        <v>1408</v>
      </c>
      <c r="I27" s="6" t="s">
        <v>1409</v>
      </c>
    </row>
    <row r="28" customFormat="false" ht="15" hidden="false" customHeight="false" outlineLevel="0" collapsed="false">
      <c r="A28" s="7" t="s">
        <v>276</v>
      </c>
      <c r="B28" s="6" t="s">
        <v>1410</v>
      </c>
      <c r="C28" s="12" t="s">
        <v>131</v>
      </c>
      <c r="D28" s="6" t="s">
        <v>1411</v>
      </c>
      <c r="E28" s="26" t="n">
        <v>397166</v>
      </c>
      <c r="F28" s="12" t="s">
        <v>1352</v>
      </c>
      <c r="G28" s="13" t="n">
        <v>46297</v>
      </c>
      <c r="H28" s="10" t="s">
        <v>1412</v>
      </c>
      <c r="I28" s="6"/>
    </row>
    <row r="29" customFormat="false" ht="15" hidden="false" customHeight="false" outlineLevel="0" collapsed="false">
      <c r="A29" s="7" t="s">
        <v>276</v>
      </c>
      <c r="B29" s="6" t="s">
        <v>1410</v>
      </c>
      <c r="C29" s="12" t="s">
        <v>130</v>
      </c>
      <c r="D29" s="6" t="s">
        <v>1413</v>
      </c>
      <c r="E29" s="26"/>
      <c r="F29" s="12" t="s">
        <v>1352</v>
      </c>
      <c r="G29" s="13" t="n">
        <v>46297</v>
      </c>
      <c r="H29" s="10" t="s">
        <v>1414</v>
      </c>
      <c r="I29" s="6"/>
    </row>
    <row r="30" customFormat="false" ht="15" hidden="false" customHeight="false" outlineLevel="0" collapsed="false">
      <c r="A30" s="7" t="s">
        <v>276</v>
      </c>
      <c r="B30" s="6" t="s">
        <v>1410</v>
      </c>
      <c r="C30" s="12" t="s">
        <v>133</v>
      </c>
      <c r="D30" s="6" t="s">
        <v>1415</v>
      </c>
      <c r="E30" s="26"/>
      <c r="F30" s="12" t="s">
        <v>1352</v>
      </c>
      <c r="G30" s="13" t="n">
        <v>46297</v>
      </c>
      <c r="H30" s="10" t="s">
        <v>1416</v>
      </c>
      <c r="I30" s="6"/>
    </row>
    <row r="31" customFormat="false" ht="15" hidden="false" customHeight="false" outlineLevel="0" collapsed="false">
      <c r="A31" s="7" t="s">
        <v>294</v>
      </c>
      <c r="B31" s="6" t="s">
        <v>1417</v>
      </c>
      <c r="C31" s="12" t="s">
        <v>131</v>
      </c>
      <c r="D31" s="6" t="s">
        <v>1418</v>
      </c>
      <c r="E31" s="26"/>
      <c r="F31" s="12" t="s">
        <v>1352</v>
      </c>
      <c r="G31" s="13" t="n">
        <v>46297</v>
      </c>
      <c r="H31" s="10" t="s">
        <v>1419</v>
      </c>
      <c r="I31" s="6"/>
    </row>
    <row r="32" customFormat="false" ht="15" hidden="false" customHeight="false" outlineLevel="0" collapsed="false">
      <c r="A32" s="7" t="s">
        <v>294</v>
      </c>
      <c r="B32" s="6" t="s">
        <v>1417</v>
      </c>
      <c r="C32" s="12" t="s">
        <v>132</v>
      </c>
      <c r="D32" s="6" t="s">
        <v>1420</v>
      </c>
      <c r="E32" s="26"/>
      <c r="F32" s="12" t="s">
        <v>1352</v>
      </c>
      <c r="G32" s="13" t="n">
        <v>46297</v>
      </c>
      <c r="H32" s="10" t="s">
        <v>1421</v>
      </c>
      <c r="I32" s="6"/>
    </row>
    <row r="33" customFormat="false" ht="15" hidden="false" customHeight="false" outlineLevel="0" collapsed="false">
      <c r="A33" s="7" t="s">
        <v>294</v>
      </c>
      <c r="B33" s="6" t="s">
        <v>1417</v>
      </c>
      <c r="C33" s="12" t="s">
        <v>133</v>
      </c>
      <c r="D33" s="6" t="s">
        <v>1422</v>
      </c>
      <c r="E33" s="26"/>
      <c r="F33" s="12" t="s">
        <v>1352</v>
      </c>
      <c r="G33" s="13" t="n">
        <v>46297</v>
      </c>
      <c r="H33" s="10" t="s">
        <v>1423</v>
      </c>
      <c r="I33" s="6"/>
    </row>
    <row r="34" customFormat="false" ht="15" hidden="false" customHeight="false" outlineLevel="0" collapsed="false">
      <c r="A34" s="7" t="s">
        <v>283</v>
      </c>
      <c r="B34" s="6" t="s">
        <v>1424</v>
      </c>
      <c r="C34" s="12" t="s">
        <v>131</v>
      </c>
      <c r="D34" s="6" t="s">
        <v>1425</v>
      </c>
      <c r="E34" s="26" t="n">
        <v>5008</v>
      </c>
      <c r="F34" s="12" t="s">
        <v>1352</v>
      </c>
      <c r="G34" s="13" t="n">
        <v>46297</v>
      </c>
      <c r="H34" s="10" t="s">
        <v>1426</v>
      </c>
      <c r="I34" s="6" t="s">
        <v>1427</v>
      </c>
    </row>
    <row r="35" customFormat="false" ht="15" hidden="false" customHeight="false" outlineLevel="0" collapsed="false">
      <c r="A35" s="7" t="s">
        <v>283</v>
      </c>
      <c r="B35" s="6" t="s">
        <v>1424</v>
      </c>
      <c r="C35" s="12" t="s">
        <v>133</v>
      </c>
      <c r="D35" s="6" t="s">
        <v>1428</v>
      </c>
      <c r="E35" s="26" t="n">
        <v>1884</v>
      </c>
      <c r="F35" s="12" t="s">
        <v>1352</v>
      </c>
      <c r="G35" s="13" t="n">
        <v>46297</v>
      </c>
      <c r="H35" s="10" t="s">
        <v>1429</v>
      </c>
      <c r="I35" s="6"/>
    </row>
    <row r="36" customFormat="false" ht="15" hidden="false" customHeight="false" outlineLevel="0" collapsed="false">
      <c r="A36" s="7" t="s">
        <v>283</v>
      </c>
      <c r="B36" s="6" t="s">
        <v>1424</v>
      </c>
      <c r="C36" s="12" t="s">
        <v>132</v>
      </c>
      <c r="D36" s="6" t="s">
        <v>1430</v>
      </c>
      <c r="E36" s="26"/>
      <c r="F36" s="12" t="s">
        <v>1352</v>
      </c>
      <c r="G36" s="13" t="n">
        <v>46297</v>
      </c>
      <c r="H36" s="10" t="s">
        <v>1431</v>
      </c>
      <c r="I36" s="6"/>
    </row>
    <row r="37" customFormat="false" ht="15" hidden="false" customHeight="false" outlineLevel="0" collapsed="false">
      <c r="A37" s="7" t="s">
        <v>327</v>
      </c>
      <c r="B37" s="6" t="s">
        <v>1432</v>
      </c>
      <c r="C37" s="12" t="s">
        <v>133</v>
      </c>
      <c r="D37" s="6" t="s">
        <v>1433</v>
      </c>
      <c r="E37" s="26" t="n">
        <v>74917</v>
      </c>
      <c r="F37" s="12" t="s">
        <v>1352</v>
      </c>
      <c r="G37" s="13" t="n">
        <v>46297</v>
      </c>
      <c r="H37" s="10" t="s">
        <v>1434</v>
      </c>
      <c r="I37" s="6"/>
    </row>
    <row r="38" customFormat="false" ht="15" hidden="false" customHeight="false" outlineLevel="0" collapsed="false">
      <c r="A38" s="7" t="s">
        <v>327</v>
      </c>
      <c r="B38" s="6" t="s">
        <v>1432</v>
      </c>
      <c r="C38" s="12" t="s">
        <v>131</v>
      </c>
      <c r="D38" s="6" t="s">
        <v>1435</v>
      </c>
      <c r="E38" s="26" t="n">
        <v>29337</v>
      </c>
      <c r="F38" s="12" t="s">
        <v>1352</v>
      </c>
      <c r="G38" s="13" t="n">
        <v>46297</v>
      </c>
      <c r="H38" s="10" t="s">
        <v>1436</v>
      </c>
      <c r="I38" s="6"/>
    </row>
    <row r="39" customFormat="false" ht="15" hidden="false" customHeight="false" outlineLevel="0" collapsed="false">
      <c r="A39" s="7" t="s">
        <v>327</v>
      </c>
      <c r="B39" s="6" t="s">
        <v>1432</v>
      </c>
      <c r="C39" s="12" t="s">
        <v>130</v>
      </c>
      <c r="D39" s="6" t="s">
        <v>1437</v>
      </c>
      <c r="E39" s="26"/>
      <c r="F39" s="12" t="s">
        <v>1352</v>
      </c>
      <c r="G39" s="13" t="n">
        <v>46297</v>
      </c>
      <c r="H39" s="10" t="s">
        <v>1438</v>
      </c>
      <c r="I39" s="6"/>
    </row>
    <row r="40" customFormat="false" ht="15" hidden="false" customHeight="false" outlineLevel="0" collapsed="false">
      <c r="A40" s="7" t="s">
        <v>327</v>
      </c>
      <c r="B40" s="6" t="s">
        <v>1432</v>
      </c>
      <c r="C40" s="12" t="s">
        <v>132</v>
      </c>
      <c r="D40" s="6" t="s">
        <v>1439</v>
      </c>
      <c r="E40" s="26"/>
      <c r="F40" s="12" t="s">
        <v>1352</v>
      </c>
      <c r="G40" s="13" t="n">
        <v>46297</v>
      </c>
      <c r="H40" s="10" t="s">
        <v>1440</v>
      </c>
      <c r="I40" s="6"/>
    </row>
    <row r="41" customFormat="false" ht="15" hidden="false" customHeight="false" outlineLevel="0" collapsed="false">
      <c r="A41" s="7" t="s">
        <v>345</v>
      </c>
      <c r="B41" s="6" t="s">
        <v>1441</v>
      </c>
      <c r="C41" s="12" t="s">
        <v>131</v>
      </c>
      <c r="D41" s="6" t="s">
        <v>1442</v>
      </c>
      <c r="E41" s="26" t="n">
        <v>496464</v>
      </c>
      <c r="F41" s="12" t="s">
        <v>1352</v>
      </c>
      <c r="G41" s="13" t="n">
        <v>46297</v>
      </c>
      <c r="H41" s="10" t="s">
        <v>1443</v>
      </c>
      <c r="I41" s="6"/>
    </row>
    <row r="42" customFormat="false" ht="15" hidden="false" customHeight="false" outlineLevel="0" collapsed="false">
      <c r="A42" s="7" t="s">
        <v>345</v>
      </c>
      <c r="B42" s="6" t="s">
        <v>1441</v>
      </c>
      <c r="C42" s="12" t="s">
        <v>130</v>
      </c>
      <c r="D42" s="6" t="s">
        <v>1444</v>
      </c>
      <c r="E42" s="26"/>
      <c r="F42" s="12" t="s">
        <v>1352</v>
      </c>
      <c r="G42" s="13" t="n">
        <v>46297</v>
      </c>
      <c r="H42" s="10" t="s">
        <v>1445</v>
      </c>
      <c r="I42" s="6"/>
    </row>
    <row r="43" customFormat="false" ht="15" hidden="false" customHeight="false" outlineLevel="0" collapsed="false">
      <c r="A43" s="7" t="s">
        <v>345</v>
      </c>
      <c r="B43" s="6" t="s">
        <v>1441</v>
      </c>
      <c r="C43" s="12" t="s">
        <v>132</v>
      </c>
      <c r="D43" s="6" t="s">
        <v>1446</v>
      </c>
      <c r="E43" s="26"/>
      <c r="F43" s="12" t="s">
        <v>1352</v>
      </c>
      <c r="G43" s="13" t="n">
        <v>46297</v>
      </c>
      <c r="H43" s="10" t="s">
        <v>1447</v>
      </c>
      <c r="I43" s="6"/>
    </row>
    <row r="44" customFormat="false" ht="15" hidden="false" customHeight="false" outlineLevel="0" collapsed="false">
      <c r="A44" s="7" t="s">
        <v>338</v>
      </c>
      <c r="B44" s="6" t="s">
        <v>1448</v>
      </c>
      <c r="C44" s="12" t="s">
        <v>133</v>
      </c>
      <c r="D44" s="6" t="s">
        <v>1449</v>
      </c>
      <c r="E44" s="26" t="n">
        <v>23064</v>
      </c>
      <c r="F44" s="12" t="s">
        <v>1352</v>
      </c>
      <c r="G44" s="13" t="n">
        <v>46297</v>
      </c>
      <c r="H44" s="10" t="s">
        <v>1450</v>
      </c>
      <c r="I44" s="6"/>
    </row>
    <row r="45" customFormat="false" ht="15" hidden="false" customHeight="false" outlineLevel="0" collapsed="false">
      <c r="A45" s="7" t="s">
        <v>338</v>
      </c>
      <c r="B45" s="6" t="s">
        <v>1448</v>
      </c>
      <c r="C45" s="12" t="s">
        <v>131</v>
      </c>
      <c r="D45" s="6" t="s">
        <v>1451</v>
      </c>
      <c r="E45" s="26" t="n">
        <v>5704</v>
      </c>
      <c r="F45" s="12" t="s">
        <v>1352</v>
      </c>
      <c r="G45" s="13" t="n">
        <v>46297</v>
      </c>
      <c r="H45" s="10" t="s">
        <v>1452</v>
      </c>
      <c r="I45" s="6"/>
    </row>
    <row r="46" customFormat="false" ht="15" hidden="false" customHeight="false" outlineLevel="0" collapsed="false">
      <c r="A46" s="7" t="s">
        <v>338</v>
      </c>
      <c r="B46" s="6" t="s">
        <v>1448</v>
      </c>
      <c r="C46" s="12" t="s">
        <v>132</v>
      </c>
      <c r="D46" s="6" t="s">
        <v>1453</v>
      </c>
      <c r="E46" s="26"/>
      <c r="F46" s="12" t="s">
        <v>1352</v>
      </c>
      <c r="G46" s="13" t="n">
        <v>46297</v>
      </c>
      <c r="H46" s="10" t="s">
        <v>1454</v>
      </c>
      <c r="I46" s="6"/>
    </row>
    <row r="47" customFormat="false" ht="15" hidden="false" customHeight="false" outlineLevel="0" collapsed="false">
      <c r="A47" s="7" t="s">
        <v>352</v>
      </c>
      <c r="B47" s="6" t="s">
        <v>1455</v>
      </c>
      <c r="C47" s="12" t="s">
        <v>131</v>
      </c>
      <c r="D47" s="6" t="s">
        <v>1456</v>
      </c>
      <c r="E47" s="26" t="n">
        <v>19850</v>
      </c>
      <c r="F47" s="12" t="s">
        <v>1352</v>
      </c>
      <c r="G47" s="13" t="n">
        <v>46297</v>
      </c>
      <c r="H47" s="10" t="s">
        <v>1457</v>
      </c>
      <c r="I47" s="6"/>
    </row>
    <row r="48" customFormat="false" ht="15" hidden="false" customHeight="false" outlineLevel="0" collapsed="false">
      <c r="A48" s="7" t="s">
        <v>352</v>
      </c>
      <c r="B48" s="6" t="s">
        <v>1455</v>
      </c>
      <c r="C48" s="12" t="s">
        <v>130</v>
      </c>
      <c r="D48" s="6" t="s">
        <v>1458</v>
      </c>
      <c r="E48" s="26"/>
      <c r="F48" s="12" t="s">
        <v>1352</v>
      </c>
      <c r="G48" s="13" t="n">
        <v>46297</v>
      </c>
      <c r="H48" s="10" t="s">
        <v>1459</v>
      </c>
      <c r="I48" s="6"/>
    </row>
    <row r="49" customFormat="false" ht="15" hidden="false" customHeight="false" outlineLevel="0" collapsed="false">
      <c r="A49" s="7" t="s">
        <v>352</v>
      </c>
      <c r="B49" s="6" t="s">
        <v>1455</v>
      </c>
      <c r="C49" s="12" t="s">
        <v>133</v>
      </c>
      <c r="D49" s="6" t="s">
        <v>1460</v>
      </c>
      <c r="E49" s="26"/>
      <c r="F49" s="12" t="s">
        <v>1352</v>
      </c>
      <c r="G49" s="13" t="n">
        <v>46297</v>
      </c>
      <c r="H49" s="10" t="s">
        <v>1461</v>
      </c>
      <c r="I49" s="6"/>
    </row>
    <row r="50" customFormat="false" ht="15" hidden="false" customHeight="false" outlineLevel="0" collapsed="false">
      <c r="A50" s="7" t="s">
        <v>367</v>
      </c>
      <c r="B50" s="6" t="s">
        <v>1462</v>
      </c>
      <c r="C50" s="12" t="s">
        <v>131</v>
      </c>
      <c r="D50" s="6" t="s">
        <v>1463</v>
      </c>
      <c r="E50" s="26" t="n">
        <v>24414</v>
      </c>
      <c r="F50" s="12" t="s">
        <v>1352</v>
      </c>
      <c r="G50" s="13" t="n">
        <v>46297</v>
      </c>
      <c r="H50" s="10" t="s">
        <v>1464</v>
      </c>
      <c r="I50" s="6"/>
    </row>
    <row r="51" customFormat="false" ht="15" hidden="false" customHeight="false" outlineLevel="0" collapsed="false">
      <c r="A51" s="7" t="s">
        <v>367</v>
      </c>
      <c r="B51" s="6" t="s">
        <v>1462</v>
      </c>
      <c r="C51" s="12" t="s">
        <v>133</v>
      </c>
      <c r="D51" s="6" t="s">
        <v>1465</v>
      </c>
      <c r="E51" s="26" t="n">
        <v>5181</v>
      </c>
      <c r="F51" s="12" t="s">
        <v>1352</v>
      </c>
      <c r="G51" s="13" t="n">
        <v>46297</v>
      </c>
      <c r="H51" s="10" t="s">
        <v>1466</v>
      </c>
      <c r="I51" s="6"/>
    </row>
    <row r="52" customFormat="false" ht="15" hidden="false" customHeight="false" outlineLevel="0" collapsed="false">
      <c r="A52" s="7" t="s">
        <v>367</v>
      </c>
      <c r="B52" s="6" t="s">
        <v>1462</v>
      </c>
      <c r="C52" s="12" t="s">
        <v>130</v>
      </c>
      <c r="D52" s="6" t="s">
        <v>1467</v>
      </c>
      <c r="E52" s="26"/>
      <c r="F52" s="12" t="s">
        <v>1352</v>
      </c>
      <c r="G52" s="13" t="n">
        <v>46297</v>
      </c>
      <c r="H52" s="10" t="s">
        <v>1468</v>
      </c>
      <c r="I52" s="6"/>
    </row>
    <row r="53" customFormat="false" ht="15" hidden="false" customHeight="false" outlineLevel="0" collapsed="false">
      <c r="A53" s="7" t="s">
        <v>419</v>
      </c>
      <c r="B53" s="6" t="s">
        <v>1469</v>
      </c>
      <c r="C53" s="12" t="s">
        <v>131</v>
      </c>
      <c r="D53" s="6" t="s">
        <v>1470</v>
      </c>
      <c r="E53" s="26" t="n">
        <v>94808</v>
      </c>
      <c r="F53" s="12" t="s">
        <v>1352</v>
      </c>
      <c r="G53" s="13" t="n">
        <v>46297</v>
      </c>
      <c r="H53" s="10" t="s">
        <v>1471</v>
      </c>
      <c r="I53" s="6"/>
    </row>
    <row r="54" customFormat="false" ht="15" hidden="false" customHeight="false" outlineLevel="0" collapsed="false">
      <c r="A54" s="7" t="s">
        <v>419</v>
      </c>
      <c r="B54" s="6" t="s">
        <v>1469</v>
      </c>
      <c r="C54" s="12" t="s">
        <v>133</v>
      </c>
      <c r="D54" s="6" t="s">
        <v>1472</v>
      </c>
      <c r="E54" s="26" t="n">
        <v>12263</v>
      </c>
      <c r="F54" s="12" t="s">
        <v>1352</v>
      </c>
      <c r="G54" s="13" t="n">
        <v>46297</v>
      </c>
      <c r="H54" s="10" t="s">
        <v>1473</v>
      </c>
      <c r="I54" s="6"/>
    </row>
    <row r="55" customFormat="false" ht="15" hidden="false" customHeight="false" outlineLevel="0" collapsed="false">
      <c r="A55" s="7" t="s">
        <v>419</v>
      </c>
      <c r="B55" s="6" t="s">
        <v>1469</v>
      </c>
      <c r="C55" s="12" t="s">
        <v>130</v>
      </c>
      <c r="D55" s="6" t="s">
        <v>1474</v>
      </c>
      <c r="E55" s="26"/>
      <c r="F55" s="12" t="s">
        <v>1352</v>
      </c>
      <c r="G55" s="13" t="n">
        <v>46297</v>
      </c>
      <c r="H55" s="10" t="s">
        <v>1475</v>
      </c>
      <c r="I55" s="6"/>
    </row>
    <row r="56" customFormat="false" ht="15" hidden="false" customHeight="false" outlineLevel="0" collapsed="false">
      <c r="A56" s="7" t="s">
        <v>419</v>
      </c>
      <c r="B56" s="6" t="s">
        <v>1469</v>
      </c>
      <c r="C56" s="12" t="s">
        <v>132</v>
      </c>
      <c r="D56" s="6" t="s">
        <v>1476</v>
      </c>
      <c r="E56" s="26"/>
      <c r="F56" s="12" t="s">
        <v>1352</v>
      </c>
      <c r="G56" s="13" t="n">
        <v>46297</v>
      </c>
      <c r="H56" s="10" t="s">
        <v>1477</v>
      </c>
      <c r="I56" s="6"/>
    </row>
    <row r="57" customFormat="false" ht="15" hidden="false" customHeight="false" outlineLevel="0" collapsed="false">
      <c r="A57" s="7" t="s">
        <v>433</v>
      </c>
      <c r="B57" s="6" t="s">
        <v>1478</v>
      </c>
      <c r="C57" s="12" t="s">
        <v>131</v>
      </c>
      <c r="D57" s="6" t="s">
        <v>1479</v>
      </c>
      <c r="E57" s="26" t="n">
        <v>9428</v>
      </c>
      <c r="F57" s="12" t="s">
        <v>1352</v>
      </c>
      <c r="G57" s="13" t="n">
        <v>46297</v>
      </c>
      <c r="H57" s="10" t="s">
        <v>1480</v>
      </c>
      <c r="I57" s="6"/>
    </row>
    <row r="58" customFormat="false" ht="15" hidden="false" customHeight="false" outlineLevel="0" collapsed="false">
      <c r="A58" s="7" t="s">
        <v>433</v>
      </c>
      <c r="B58" s="6" t="s">
        <v>1478</v>
      </c>
      <c r="C58" s="12" t="s">
        <v>133</v>
      </c>
      <c r="D58" s="6" t="s">
        <v>1481</v>
      </c>
      <c r="E58" s="26" t="n">
        <v>3977</v>
      </c>
      <c r="F58" s="12" t="s">
        <v>1352</v>
      </c>
      <c r="G58" s="13" t="n">
        <v>46297</v>
      </c>
      <c r="H58" s="10" t="s">
        <v>1482</v>
      </c>
      <c r="I58" s="6"/>
    </row>
    <row r="59" customFormat="false" ht="15" hidden="false" customHeight="false" outlineLevel="0" collapsed="false">
      <c r="A59" s="7" t="s">
        <v>433</v>
      </c>
      <c r="B59" s="6" t="s">
        <v>1478</v>
      </c>
      <c r="C59" s="12" t="s">
        <v>130</v>
      </c>
      <c r="D59" s="6" t="s">
        <v>1483</v>
      </c>
      <c r="E59" s="26"/>
      <c r="F59" s="12" t="s">
        <v>1352</v>
      </c>
      <c r="G59" s="13" t="n">
        <v>46297</v>
      </c>
      <c r="H59" s="10" t="s">
        <v>1484</v>
      </c>
      <c r="I59" s="6"/>
    </row>
    <row r="60" customFormat="false" ht="15" hidden="false" customHeight="false" outlineLevel="0" collapsed="false">
      <c r="A60" s="7" t="s">
        <v>405</v>
      </c>
      <c r="B60" s="6" t="s">
        <v>1485</v>
      </c>
      <c r="C60" s="12" t="s">
        <v>131</v>
      </c>
      <c r="D60" s="6" t="s">
        <v>1486</v>
      </c>
      <c r="E60" s="26" t="n">
        <v>22802</v>
      </c>
      <c r="F60" s="12" t="s">
        <v>1352</v>
      </c>
      <c r="G60" s="13" t="n">
        <v>46297</v>
      </c>
      <c r="H60" s="10" t="s">
        <v>1487</v>
      </c>
      <c r="I60" s="6"/>
    </row>
    <row r="61" customFormat="false" ht="15" hidden="false" customHeight="false" outlineLevel="0" collapsed="false">
      <c r="A61" s="7" t="s">
        <v>405</v>
      </c>
      <c r="B61" s="6" t="s">
        <v>1485</v>
      </c>
      <c r="C61" s="12" t="s">
        <v>131</v>
      </c>
      <c r="D61" s="6" t="s">
        <v>1488</v>
      </c>
      <c r="E61" s="26" t="n">
        <v>1312</v>
      </c>
      <c r="F61" s="12" t="s">
        <v>1352</v>
      </c>
      <c r="G61" s="13" t="n">
        <v>46297</v>
      </c>
      <c r="H61" s="10" t="s">
        <v>1489</v>
      </c>
      <c r="I61" s="6"/>
    </row>
    <row r="62" customFormat="false" ht="15" hidden="false" customHeight="false" outlineLevel="0" collapsed="false">
      <c r="A62" s="7" t="s">
        <v>405</v>
      </c>
      <c r="B62" s="6" t="s">
        <v>1485</v>
      </c>
      <c r="C62" s="12" t="s">
        <v>132</v>
      </c>
      <c r="D62" s="6" t="s">
        <v>1490</v>
      </c>
      <c r="E62" s="26"/>
      <c r="F62" s="12" t="s">
        <v>1352</v>
      </c>
      <c r="G62" s="13" t="n">
        <v>46297</v>
      </c>
      <c r="H62" s="10" t="s">
        <v>1491</v>
      </c>
      <c r="I62" s="6"/>
    </row>
    <row r="63" customFormat="false" ht="15" hidden="false" customHeight="false" outlineLevel="0" collapsed="false">
      <c r="A63" s="7" t="s">
        <v>405</v>
      </c>
      <c r="B63" s="6" t="s">
        <v>1485</v>
      </c>
      <c r="C63" s="12" t="s">
        <v>133</v>
      </c>
      <c r="D63" s="6" t="s">
        <v>1492</v>
      </c>
      <c r="E63" s="26"/>
      <c r="F63" s="12" t="s">
        <v>1352</v>
      </c>
      <c r="G63" s="13" t="n">
        <v>46297</v>
      </c>
      <c r="H63" s="10" t="s">
        <v>1493</v>
      </c>
      <c r="I63" s="6"/>
    </row>
    <row r="64" customFormat="false" ht="15" hidden="false" customHeight="false" outlineLevel="0" collapsed="false">
      <c r="A64" s="7" t="s">
        <v>456</v>
      </c>
      <c r="B64" s="6" t="s">
        <v>1494</v>
      </c>
      <c r="C64" s="12" t="s">
        <v>133</v>
      </c>
      <c r="D64" s="6" t="s">
        <v>1495</v>
      </c>
      <c r="E64" s="26" t="n">
        <v>6869</v>
      </c>
      <c r="F64" s="12" t="s">
        <v>1352</v>
      </c>
      <c r="G64" s="13" t="n">
        <v>46297</v>
      </c>
      <c r="H64" s="10" t="s">
        <v>1496</v>
      </c>
      <c r="I64" s="6"/>
    </row>
    <row r="65" customFormat="false" ht="15" hidden="false" customHeight="false" outlineLevel="0" collapsed="false">
      <c r="A65" s="7" t="s">
        <v>456</v>
      </c>
      <c r="B65" s="6" t="s">
        <v>1494</v>
      </c>
      <c r="C65" s="12" t="s">
        <v>131</v>
      </c>
      <c r="D65" s="6" t="s">
        <v>1497</v>
      </c>
      <c r="E65" s="26" t="n">
        <v>5668</v>
      </c>
      <c r="F65" s="12" t="s">
        <v>1352</v>
      </c>
      <c r="G65" s="13" t="n">
        <v>46297</v>
      </c>
      <c r="H65" s="10" t="s">
        <v>1498</v>
      </c>
      <c r="I65" s="6"/>
    </row>
    <row r="66" customFormat="false" ht="15" hidden="false" customHeight="false" outlineLevel="0" collapsed="false">
      <c r="A66" s="7" t="s">
        <v>456</v>
      </c>
      <c r="B66" s="6" t="s">
        <v>1494</v>
      </c>
      <c r="C66" s="12" t="s">
        <v>130</v>
      </c>
      <c r="D66" s="6" t="s">
        <v>1499</v>
      </c>
      <c r="E66" s="26"/>
      <c r="F66" s="12" t="s">
        <v>1352</v>
      </c>
      <c r="G66" s="13" t="n">
        <v>46297</v>
      </c>
      <c r="H66" s="10" t="s">
        <v>1500</v>
      </c>
      <c r="I66" s="6"/>
    </row>
    <row r="67" customFormat="false" ht="15" hidden="false" customHeight="false" outlineLevel="0" collapsed="false">
      <c r="A67" s="7" t="s">
        <v>463</v>
      </c>
      <c r="B67" s="6" t="s">
        <v>1501</v>
      </c>
      <c r="C67" s="12" t="s">
        <v>131</v>
      </c>
      <c r="D67" s="6" t="s">
        <v>1502</v>
      </c>
      <c r="E67" s="26" t="n">
        <v>4751</v>
      </c>
      <c r="F67" s="12" t="s">
        <v>1352</v>
      </c>
      <c r="G67" s="13" t="n">
        <v>46297</v>
      </c>
      <c r="H67" s="10" t="s">
        <v>1503</v>
      </c>
      <c r="I67" s="6"/>
    </row>
    <row r="68" customFormat="false" ht="15" hidden="false" customHeight="false" outlineLevel="0" collapsed="false">
      <c r="A68" s="7" t="s">
        <v>463</v>
      </c>
      <c r="B68" s="6" t="s">
        <v>1501</v>
      </c>
      <c r="C68" s="12" t="s">
        <v>130</v>
      </c>
      <c r="D68" s="6" t="s">
        <v>1504</v>
      </c>
      <c r="E68" s="26"/>
      <c r="F68" s="12" t="s">
        <v>1352</v>
      </c>
      <c r="G68" s="13" t="n">
        <v>46297</v>
      </c>
      <c r="H68" s="10" t="s">
        <v>1505</v>
      </c>
      <c r="I68" s="6"/>
    </row>
    <row r="69" customFormat="false" ht="15" hidden="false" customHeight="false" outlineLevel="0" collapsed="false">
      <c r="A69" s="7" t="s">
        <v>463</v>
      </c>
      <c r="B69" s="6" t="s">
        <v>1501</v>
      </c>
      <c r="C69" s="12" t="s">
        <v>132</v>
      </c>
      <c r="D69" s="6" t="s">
        <v>1506</v>
      </c>
      <c r="E69" s="26"/>
      <c r="F69" s="12" t="s">
        <v>1352</v>
      </c>
      <c r="G69" s="13" t="n">
        <v>46297</v>
      </c>
      <c r="H69" s="10" t="s">
        <v>1507</v>
      </c>
      <c r="I69" s="6" t="s">
        <v>1508</v>
      </c>
    </row>
    <row r="70" customFormat="false" ht="15" hidden="false" customHeight="false" outlineLevel="0" collapsed="false">
      <c r="A70" s="7" t="s">
        <v>463</v>
      </c>
      <c r="B70" s="6" t="s">
        <v>1501</v>
      </c>
      <c r="C70" s="12" t="s">
        <v>133</v>
      </c>
      <c r="D70" s="6" t="s">
        <v>1509</v>
      </c>
      <c r="E70" s="26"/>
      <c r="F70" s="12" t="s">
        <v>1352</v>
      </c>
      <c r="G70" s="13" t="n">
        <v>46297</v>
      </c>
      <c r="H70" s="10" t="s">
        <v>1510</v>
      </c>
      <c r="I70" s="6"/>
    </row>
    <row r="71" customFormat="false" ht="15" hidden="false" customHeight="false" outlineLevel="0" collapsed="false">
      <c r="A71" s="7" t="s">
        <v>519</v>
      </c>
      <c r="B71" s="6" t="s">
        <v>1511</v>
      </c>
      <c r="C71" s="12" t="s">
        <v>130</v>
      </c>
      <c r="D71" s="6" t="s">
        <v>1511</v>
      </c>
      <c r="E71" s="26"/>
      <c r="F71" s="12" t="s">
        <v>1352</v>
      </c>
      <c r="G71" s="13" t="n">
        <v>46297</v>
      </c>
      <c r="H71" s="10" t="s">
        <v>1512</v>
      </c>
      <c r="I71" s="6"/>
    </row>
    <row r="72" customFormat="false" ht="15" hidden="false" customHeight="false" outlineLevel="0" collapsed="false">
      <c r="A72" s="7" t="s">
        <v>519</v>
      </c>
      <c r="B72" s="6" t="s">
        <v>1511</v>
      </c>
      <c r="C72" s="12" t="s">
        <v>131</v>
      </c>
      <c r="D72" s="6" t="s">
        <v>1513</v>
      </c>
      <c r="E72" s="26"/>
      <c r="F72" s="12" t="s">
        <v>1352</v>
      </c>
      <c r="G72" s="13" t="n">
        <v>46297</v>
      </c>
      <c r="H72" s="10" t="s">
        <v>1514</v>
      </c>
      <c r="I72" s="6"/>
    </row>
    <row r="73" customFormat="false" ht="15" hidden="false" customHeight="false" outlineLevel="0" collapsed="false">
      <c r="A73" s="7" t="s">
        <v>519</v>
      </c>
      <c r="B73" s="6" t="s">
        <v>1511</v>
      </c>
      <c r="C73" s="12" t="s">
        <v>133</v>
      </c>
      <c r="D73" s="6" t="s">
        <v>1515</v>
      </c>
      <c r="E73" s="26"/>
      <c r="F73" s="12" t="s">
        <v>1352</v>
      </c>
      <c r="G73" s="13" t="n">
        <v>46297</v>
      </c>
      <c r="H73" s="10" t="s">
        <v>1516</v>
      </c>
      <c r="I73" s="6"/>
    </row>
    <row r="74" customFormat="false" ht="15" hidden="false" customHeight="false" outlineLevel="0" collapsed="false">
      <c r="A74" s="7" t="s">
        <v>487</v>
      </c>
      <c r="B74" s="6" t="s">
        <v>1517</v>
      </c>
      <c r="C74" s="12" t="s">
        <v>131</v>
      </c>
      <c r="D74" s="6" t="s">
        <v>1518</v>
      </c>
      <c r="E74" s="26" t="n">
        <v>3400</v>
      </c>
      <c r="F74" s="12" t="s">
        <v>1352</v>
      </c>
      <c r="G74" s="13" t="n">
        <v>46297</v>
      </c>
      <c r="H74" s="10" t="s">
        <v>1519</v>
      </c>
      <c r="I74" s="6"/>
    </row>
    <row r="75" customFormat="false" ht="15" hidden="false" customHeight="false" outlineLevel="0" collapsed="false">
      <c r="A75" s="7" t="s">
        <v>487</v>
      </c>
      <c r="B75" s="6" t="s">
        <v>1517</v>
      </c>
      <c r="C75" s="12" t="s">
        <v>131</v>
      </c>
      <c r="D75" s="6" t="s">
        <v>1520</v>
      </c>
      <c r="E75" s="26" t="n">
        <v>3300</v>
      </c>
      <c r="F75" s="12" t="s">
        <v>1352</v>
      </c>
      <c r="G75" s="13" t="n">
        <v>46297</v>
      </c>
      <c r="H75" s="10" t="s">
        <v>1521</v>
      </c>
      <c r="I75" s="6"/>
    </row>
    <row r="76" customFormat="false" ht="15" hidden="false" customHeight="false" outlineLevel="0" collapsed="false">
      <c r="A76" s="7" t="s">
        <v>487</v>
      </c>
      <c r="B76" s="6" t="s">
        <v>1517</v>
      </c>
      <c r="C76" s="12" t="s">
        <v>131</v>
      </c>
      <c r="D76" s="6" t="s">
        <v>1522</v>
      </c>
      <c r="E76" s="26" t="n">
        <v>1700</v>
      </c>
      <c r="F76" s="12" t="s">
        <v>1352</v>
      </c>
      <c r="G76" s="13" t="n">
        <v>46297</v>
      </c>
      <c r="H76" s="10" t="s">
        <v>1523</v>
      </c>
      <c r="I76" s="6"/>
    </row>
    <row r="77" customFormat="false" ht="15" hidden="false" customHeight="false" outlineLevel="0" collapsed="false">
      <c r="A77" s="7" t="s">
        <v>487</v>
      </c>
      <c r="B77" s="6" t="s">
        <v>1517</v>
      </c>
      <c r="C77" s="12" t="s">
        <v>130</v>
      </c>
      <c r="D77" s="6" t="s">
        <v>1524</v>
      </c>
      <c r="E77" s="26"/>
      <c r="F77" s="12" t="s">
        <v>1352</v>
      </c>
      <c r="G77" s="13" t="n">
        <v>46297</v>
      </c>
      <c r="H77" s="10" t="s">
        <v>1525</v>
      </c>
      <c r="I77" s="6" t="s">
        <v>1526</v>
      </c>
    </row>
    <row r="78" customFormat="false" ht="15" hidden="false" customHeight="false" outlineLevel="0" collapsed="false">
      <c r="A78" s="7" t="s">
        <v>487</v>
      </c>
      <c r="B78" s="6" t="s">
        <v>1517</v>
      </c>
      <c r="C78" s="12" t="s">
        <v>130</v>
      </c>
      <c r="D78" s="6" t="s">
        <v>1527</v>
      </c>
      <c r="E78" s="26"/>
      <c r="F78" s="12" t="s">
        <v>1352</v>
      </c>
      <c r="G78" s="13" t="n">
        <v>46297</v>
      </c>
      <c r="H78" s="10" t="s">
        <v>1528</v>
      </c>
      <c r="I78" s="6"/>
    </row>
    <row r="79" customFormat="false" ht="15" hidden="false" customHeight="false" outlineLevel="0" collapsed="false">
      <c r="A79" s="7" t="s">
        <v>506</v>
      </c>
      <c r="B79" s="6" t="s">
        <v>1529</v>
      </c>
      <c r="C79" s="12" t="s">
        <v>131</v>
      </c>
      <c r="D79" s="6" t="s">
        <v>1530</v>
      </c>
      <c r="E79" s="26" t="n">
        <v>11000</v>
      </c>
      <c r="F79" s="12" t="s">
        <v>1352</v>
      </c>
      <c r="G79" s="13" t="n">
        <v>46297</v>
      </c>
      <c r="H79" s="10" t="s">
        <v>1531</v>
      </c>
      <c r="I79" s="6"/>
    </row>
    <row r="80" customFormat="false" ht="15" hidden="false" customHeight="false" outlineLevel="0" collapsed="false">
      <c r="A80" s="7" t="s">
        <v>506</v>
      </c>
      <c r="B80" s="6" t="s">
        <v>1529</v>
      </c>
      <c r="C80" s="12" t="s">
        <v>130</v>
      </c>
      <c r="D80" s="6" t="s">
        <v>1532</v>
      </c>
      <c r="E80" s="26"/>
      <c r="F80" s="12" t="s">
        <v>1352</v>
      </c>
      <c r="G80" s="13" t="n">
        <v>46297</v>
      </c>
      <c r="H80" s="10" t="s">
        <v>1533</v>
      </c>
      <c r="I80" s="6"/>
    </row>
    <row r="81" customFormat="false" ht="15" hidden="false" customHeight="false" outlineLevel="0" collapsed="false">
      <c r="A81" s="7" t="s">
        <v>218</v>
      </c>
      <c r="B81" s="6" t="s">
        <v>1534</v>
      </c>
      <c r="C81" s="12" t="s">
        <v>131</v>
      </c>
      <c r="D81" s="6" t="s">
        <v>1535</v>
      </c>
      <c r="E81" s="26" t="n">
        <v>38843</v>
      </c>
      <c r="F81" s="12" t="s">
        <v>1352</v>
      </c>
      <c r="G81" s="13" t="n">
        <v>46297</v>
      </c>
      <c r="H81" s="10" t="s">
        <v>1536</v>
      </c>
      <c r="I81" s="6"/>
    </row>
    <row r="82" customFormat="false" ht="15" hidden="false" customHeight="false" outlineLevel="0" collapsed="false">
      <c r="A82" s="7" t="s">
        <v>218</v>
      </c>
      <c r="B82" s="6" t="s">
        <v>1534</v>
      </c>
      <c r="C82" s="12" t="s">
        <v>130</v>
      </c>
      <c r="D82" s="6" t="s">
        <v>1537</v>
      </c>
      <c r="E82" s="26"/>
      <c r="F82" s="12" t="s">
        <v>1352</v>
      </c>
      <c r="G82" s="13" t="n">
        <v>46297</v>
      </c>
      <c r="H82" s="10" t="s">
        <v>1538</v>
      </c>
      <c r="I82" s="6"/>
    </row>
    <row r="83" customFormat="false" ht="15" hidden="false" customHeight="false" outlineLevel="0" collapsed="false">
      <c r="A83" s="7" t="s">
        <v>218</v>
      </c>
      <c r="B83" s="6" t="s">
        <v>1534</v>
      </c>
      <c r="C83" s="12" t="s">
        <v>132</v>
      </c>
      <c r="D83" s="6" t="s">
        <v>1539</v>
      </c>
      <c r="E83" s="26"/>
      <c r="F83" s="12" t="s">
        <v>1352</v>
      </c>
      <c r="G83" s="13" t="n">
        <v>46297</v>
      </c>
      <c r="H83" s="10" t="s">
        <v>1540</v>
      </c>
      <c r="I83" s="6"/>
    </row>
    <row r="84" customFormat="false" ht="15" hidden="false" customHeight="false" outlineLevel="0" collapsed="false">
      <c r="A84" s="7" t="s">
        <v>218</v>
      </c>
      <c r="B84" s="6" t="s">
        <v>1534</v>
      </c>
      <c r="C84" s="12" t="s">
        <v>133</v>
      </c>
      <c r="D84" s="6" t="s">
        <v>1541</v>
      </c>
      <c r="E84" s="26"/>
      <c r="F84" s="12" t="s">
        <v>1352</v>
      </c>
      <c r="G84" s="13" t="n">
        <v>46297</v>
      </c>
      <c r="H84" s="10" t="s">
        <v>1542</v>
      </c>
      <c r="I84" s="6"/>
    </row>
    <row r="85" customFormat="false" ht="15" hidden="false" customHeight="false" outlineLevel="0" collapsed="false">
      <c r="A85" s="7" t="s">
        <v>384</v>
      </c>
      <c r="B85" s="6" t="s">
        <v>1543</v>
      </c>
      <c r="C85" s="12" t="s">
        <v>130</v>
      </c>
      <c r="D85" s="6" t="s">
        <v>1544</v>
      </c>
      <c r="E85" s="26"/>
      <c r="F85" s="12" t="s">
        <v>1352</v>
      </c>
      <c r="G85" s="13" t="n">
        <v>46297</v>
      </c>
      <c r="H85" s="10" t="s">
        <v>1545</v>
      </c>
      <c r="I85" s="6"/>
    </row>
    <row r="86" customFormat="false" ht="15" hidden="false" customHeight="false" outlineLevel="0" collapsed="false">
      <c r="A86" s="7" t="s">
        <v>384</v>
      </c>
      <c r="B86" s="6" t="s">
        <v>1543</v>
      </c>
      <c r="C86" s="12" t="s">
        <v>132</v>
      </c>
      <c r="D86" s="6" t="s">
        <v>1546</v>
      </c>
      <c r="E86" s="26"/>
      <c r="F86" s="12" t="s">
        <v>1352</v>
      </c>
      <c r="G86" s="13" t="n">
        <v>46297</v>
      </c>
      <c r="H86" s="10" t="s">
        <v>1547</v>
      </c>
      <c r="I86" s="6"/>
    </row>
    <row r="87" customFormat="false" ht="15" hidden="false" customHeight="false" outlineLevel="0" collapsed="false">
      <c r="A87" s="7" t="s">
        <v>384</v>
      </c>
      <c r="B87" s="6" t="s">
        <v>1543</v>
      </c>
      <c r="C87" s="12" t="s">
        <v>133</v>
      </c>
      <c r="D87" s="6" t="s">
        <v>1548</v>
      </c>
      <c r="E87" s="26"/>
      <c r="F87" s="12" t="s">
        <v>1352</v>
      </c>
      <c r="G87" s="13" t="n">
        <v>46297</v>
      </c>
      <c r="H87" s="10" t="s">
        <v>1549</v>
      </c>
      <c r="I87" s="6"/>
    </row>
    <row r="88" customFormat="false" ht="15" hidden="false" customHeight="false" outlineLevel="0" collapsed="false">
      <c r="A88" s="7" t="s">
        <v>587</v>
      </c>
      <c r="B88" s="6" t="s">
        <v>1550</v>
      </c>
      <c r="C88" s="12" t="s">
        <v>130</v>
      </c>
      <c r="D88" s="6" t="s">
        <v>1551</v>
      </c>
      <c r="E88" s="26"/>
      <c r="F88" s="12" t="s">
        <v>1352</v>
      </c>
      <c r="G88" s="13" t="n">
        <v>46297</v>
      </c>
      <c r="H88" s="10" t="s">
        <v>1552</v>
      </c>
      <c r="I88" s="6"/>
    </row>
    <row r="89" customFormat="false" ht="15" hidden="false" customHeight="false" outlineLevel="0" collapsed="false">
      <c r="A89" s="7" t="s">
        <v>597</v>
      </c>
      <c r="B89" s="6" t="s">
        <v>1553</v>
      </c>
      <c r="C89" s="12" t="s">
        <v>130</v>
      </c>
      <c r="D89" s="6" t="s">
        <v>1554</v>
      </c>
      <c r="E89" s="26"/>
      <c r="F89" s="12" t="s">
        <v>1555</v>
      </c>
      <c r="G89" s="13" t="n">
        <v>46297</v>
      </c>
      <c r="H89" s="10" t="s">
        <v>1556</v>
      </c>
      <c r="I89" s="6" t="s">
        <v>1557</v>
      </c>
    </row>
    <row r="90" customFormat="false" ht="15" hidden="false" customHeight="false" outlineLevel="0" collapsed="false">
      <c r="A90" s="7" t="s">
        <v>688</v>
      </c>
      <c r="B90" s="6" t="s">
        <v>1558</v>
      </c>
      <c r="C90" s="12" t="s">
        <v>131</v>
      </c>
      <c r="D90" s="6" t="s">
        <v>1559</v>
      </c>
      <c r="E90" s="26" t="n">
        <v>15107</v>
      </c>
      <c r="F90" s="12" t="s">
        <v>1352</v>
      </c>
      <c r="G90" s="13" t="n">
        <v>46297</v>
      </c>
      <c r="H90" s="10" t="s">
        <v>1560</v>
      </c>
      <c r="I90" s="6"/>
    </row>
    <row r="91" customFormat="false" ht="15" hidden="false" customHeight="false" outlineLevel="0" collapsed="false">
      <c r="A91" s="7" t="s">
        <v>688</v>
      </c>
      <c r="B91" s="6" t="s">
        <v>1558</v>
      </c>
      <c r="C91" s="12" t="s">
        <v>130</v>
      </c>
      <c r="D91" s="6" t="s">
        <v>1561</v>
      </c>
      <c r="E91" s="26"/>
      <c r="F91" s="12" t="s">
        <v>1352</v>
      </c>
      <c r="G91" s="13" t="n">
        <v>46297</v>
      </c>
      <c r="H91" s="10" t="s">
        <v>1562</v>
      </c>
      <c r="I91" s="6"/>
    </row>
    <row r="92" customFormat="false" ht="15" hidden="false" customHeight="false" outlineLevel="0" collapsed="false">
      <c r="A92" s="7" t="s">
        <v>688</v>
      </c>
      <c r="B92" s="6" t="s">
        <v>1558</v>
      </c>
      <c r="C92" s="12" t="s">
        <v>133</v>
      </c>
      <c r="D92" s="6" t="s">
        <v>1563</v>
      </c>
      <c r="E92" s="26"/>
      <c r="F92" s="12" t="s">
        <v>1352</v>
      </c>
      <c r="G92" s="13" t="n">
        <v>46297</v>
      </c>
      <c r="H92" s="10" t="s">
        <v>1564</v>
      </c>
      <c r="I92" s="6"/>
    </row>
    <row r="93" customFormat="false" ht="15" hidden="false" customHeight="false" outlineLevel="0" collapsed="false">
      <c r="A93" s="7" t="s">
        <v>697</v>
      </c>
      <c r="B93" s="6" t="s">
        <v>1565</v>
      </c>
      <c r="C93" s="12" t="s">
        <v>131</v>
      </c>
      <c r="D93" s="6" t="s">
        <v>1566</v>
      </c>
      <c r="E93" s="26" t="n">
        <v>1800</v>
      </c>
      <c r="F93" s="12" t="s">
        <v>1352</v>
      </c>
      <c r="G93" s="13" t="n">
        <v>46297</v>
      </c>
      <c r="H93" s="10" t="s">
        <v>1567</v>
      </c>
      <c r="I93" s="6" t="s">
        <v>1568</v>
      </c>
    </row>
    <row r="94" customFormat="false" ht="15" hidden="false" customHeight="false" outlineLevel="0" collapsed="false">
      <c r="A94" s="7" t="s">
        <v>697</v>
      </c>
      <c r="B94" s="6" t="s">
        <v>1565</v>
      </c>
      <c r="C94" s="12" t="s">
        <v>131</v>
      </c>
      <c r="D94" s="6" t="s">
        <v>1569</v>
      </c>
      <c r="E94" s="26" t="n">
        <v>926</v>
      </c>
      <c r="F94" s="12" t="s">
        <v>1352</v>
      </c>
      <c r="G94" s="13" t="n">
        <v>46297</v>
      </c>
      <c r="H94" s="10" t="s">
        <v>1570</v>
      </c>
      <c r="I94" s="6"/>
    </row>
    <row r="95" customFormat="false" ht="15" hidden="false" customHeight="false" outlineLevel="0" collapsed="false">
      <c r="A95" s="7" t="s">
        <v>697</v>
      </c>
      <c r="B95" s="6" t="s">
        <v>1565</v>
      </c>
      <c r="C95" s="12" t="s">
        <v>130</v>
      </c>
      <c r="D95" s="6" t="s">
        <v>1571</v>
      </c>
      <c r="E95" s="26"/>
      <c r="F95" s="12" t="s">
        <v>1352</v>
      </c>
      <c r="G95" s="13" t="n">
        <v>46297</v>
      </c>
      <c r="H95" s="10" t="s">
        <v>1572</v>
      </c>
      <c r="I95" s="6"/>
    </row>
    <row r="96" customFormat="false" ht="15" hidden="false" customHeight="false" outlineLevel="0" collapsed="false">
      <c r="A96" s="7" t="s">
        <v>697</v>
      </c>
      <c r="B96" s="6" t="s">
        <v>1565</v>
      </c>
      <c r="C96" s="12" t="s">
        <v>130</v>
      </c>
      <c r="D96" s="6" t="s">
        <v>1573</v>
      </c>
      <c r="E96" s="26"/>
      <c r="F96" s="12" t="s">
        <v>1352</v>
      </c>
      <c r="G96" s="13" t="n">
        <v>46297</v>
      </c>
      <c r="H96" s="10" t="s">
        <v>1574</v>
      </c>
      <c r="I96" s="6"/>
    </row>
    <row r="97" customFormat="false" ht="23.85" hidden="false" customHeight="false" outlineLevel="0" collapsed="false">
      <c r="A97" s="7" t="s">
        <v>697</v>
      </c>
      <c r="B97" s="6" t="s">
        <v>1565</v>
      </c>
      <c r="C97" s="12" t="s">
        <v>131</v>
      </c>
      <c r="D97" s="6" t="s">
        <v>1575</v>
      </c>
      <c r="E97" s="26"/>
      <c r="F97" s="12" t="s">
        <v>1555</v>
      </c>
      <c r="G97" s="13" t="n">
        <v>46297</v>
      </c>
      <c r="H97" s="10" t="s">
        <v>1576</v>
      </c>
      <c r="I97" s="6" t="s">
        <v>1577</v>
      </c>
    </row>
    <row r="98" customFormat="false" ht="15" hidden="false" customHeight="false" outlineLevel="0" collapsed="false">
      <c r="A98" s="7" t="s">
        <v>641</v>
      </c>
      <c r="B98" s="6" t="s">
        <v>1578</v>
      </c>
      <c r="C98" s="12" t="s">
        <v>131</v>
      </c>
      <c r="D98" s="6" t="s">
        <v>1579</v>
      </c>
      <c r="E98" s="26" t="n">
        <v>716</v>
      </c>
      <c r="F98" s="12" t="s">
        <v>1352</v>
      </c>
      <c r="G98" s="13" t="n">
        <v>46297</v>
      </c>
      <c r="H98" s="10" t="s">
        <v>1580</v>
      </c>
      <c r="I98" s="6"/>
    </row>
    <row r="99" customFormat="false" ht="15" hidden="false" customHeight="false" outlineLevel="0" collapsed="false">
      <c r="A99" s="7" t="s">
        <v>641</v>
      </c>
      <c r="B99" s="6" t="s">
        <v>1578</v>
      </c>
      <c r="C99" s="12" t="s">
        <v>130</v>
      </c>
      <c r="D99" s="6" t="s">
        <v>1581</v>
      </c>
      <c r="E99" s="26"/>
      <c r="F99" s="12" t="s">
        <v>1352</v>
      </c>
      <c r="G99" s="13" t="n">
        <v>46297</v>
      </c>
      <c r="H99" s="10" t="s">
        <v>1582</v>
      </c>
      <c r="I99" s="6"/>
    </row>
    <row r="100" customFormat="false" ht="15" hidden="false" customHeight="false" outlineLevel="0" collapsed="false">
      <c r="A100" s="7" t="s">
        <v>641</v>
      </c>
      <c r="B100" s="6" t="s">
        <v>1578</v>
      </c>
      <c r="C100" s="12" t="s">
        <v>131</v>
      </c>
      <c r="D100" s="6" t="s">
        <v>1583</v>
      </c>
      <c r="E100" s="26"/>
      <c r="F100" s="12" t="s">
        <v>1352</v>
      </c>
      <c r="G100" s="13" t="n">
        <v>46297</v>
      </c>
      <c r="H100" s="10" t="s">
        <v>1584</v>
      </c>
      <c r="I100" s="6"/>
    </row>
    <row r="101" customFormat="false" ht="15" hidden="false" customHeight="false" outlineLevel="0" collapsed="false">
      <c r="A101" s="7" t="s">
        <v>733</v>
      </c>
      <c r="B101" s="6" t="s">
        <v>1585</v>
      </c>
      <c r="C101" s="12" t="s">
        <v>131</v>
      </c>
      <c r="D101" s="6" t="s">
        <v>1586</v>
      </c>
      <c r="E101" s="26" t="n">
        <v>6200</v>
      </c>
      <c r="F101" s="12" t="s">
        <v>1352</v>
      </c>
      <c r="G101" s="13" t="n">
        <v>46297</v>
      </c>
      <c r="H101" s="10" t="s">
        <v>1587</v>
      </c>
      <c r="I101" s="6"/>
    </row>
    <row r="102" customFormat="false" ht="15" hidden="false" customHeight="false" outlineLevel="0" collapsed="false">
      <c r="A102" s="7" t="s">
        <v>733</v>
      </c>
      <c r="B102" s="6" t="s">
        <v>1585</v>
      </c>
      <c r="C102" s="12" t="s">
        <v>130</v>
      </c>
      <c r="D102" s="6" t="s">
        <v>1588</v>
      </c>
      <c r="E102" s="26"/>
      <c r="F102" s="12" t="s">
        <v>1589</v>
      </c>
      <c r="G102" s="13" t="n">
        <v>46297</v>
      </c>
      <c r="H102" s="10" t="s">
        <v>1590</v>
      </c>
      <c r="I102" s="6" t="s">
        <v>1591</v>
      </c>
    </row>
    <row r="103" customFormat="false" ht="23.85" hidden="false" customHeight="false" outlineLevel="0" collapsed="false">
      <c r="A103" s="7" t="s">
        <v>739</v>
      </c>
      <c r="B103" s="6" t="s">
        <v>1592</v>
      </c>
      <c r="C103" s="12" t="s">
        <v>131</v>
      </c>
      <c r="D103" s="6" t="s">
        <v>1593</v>
      </c>
      <c r="E103" s="26" t="n">
        <v>6143</v>
      </c>
      <c r="F103" s="12" t="s">
        <v>1352</v>
      </c>
      <c r="G103" s="13" t="n">
        <v>46297</v>
      </c>
      <c r="H103" s="10" t="s">
        <v>1594</v>
      </c>
      <c r="I103" s="6" t="s">
        <v>1595</v>
      </c>
    </row>
    <row r="104" customFormat="false" ht="15" hidden="false" customHeight="false" outlineLevel="0" collapsed="false">
      <c r="A104" s="7" t="s">
        <v>739</v>
      </c>
      <c r="B104" s="6" t="s">
        <v>1592</v>
      </c>
      <c r="C104" s="12" t="s">
        <v>131</v>
      </c>
      <c r="D104" s="6" t="s">
        <v>1596</v>
      </c>
      <c r="E104" s="26" t="n">
        <v>3893</v>
      </c>
      <c r="F104" s="12" t="s">
        <v>1352</v>
      </c>
      <c r="G104" s="13" t="n">
        <v>46297</v>
      </c>
      <c r="H104" s="10" t="s">
        <v>1597</v>
      </c>
      <c r="I104" s="6"/>
    </row>
    <row r="105" customFormat="false" ht="15" hidden="false" customHeight="false" outlineLevel="0" collapsed="false">
      <c r="A105" s="7" t="s">
        <v>739</v>
      </c>
      <c r="B105" s="6" t="s">
        <v>1592</v>
      </c>
      <c r="C105" s="12" t="s">
        <v>130</v>
      </c>
      <c r="D105" s="6" t="s">
        <v>1598</v>
      </c>
      <c r="E105" s="26" t="n">
        <v>2548</v>
      </c>
      <c r="F105" s="12" t="s">
        <v>1352</v>
      </c>
      <c r="G105" s="13" t="n">
        <v>46297</v>
      </c>
      <c r="H105" s="10" t="s">
        <v>1599</v>
      </c>
      <c r="I105" s="6"/>
    </row>
    <row r="106" customFormat="false" ht="15" hidden="false" customHeight="false" outlineLevel="0" collapsed="false">
      <c r="A106" s="7" t="s">
        <v>739</v>
      </c>
      <c r="B106" s="6" t="s">
        <v>1592</v>
      </c>
      <c r="C106" s="12" t="s">
        <v>130</v>
      </c>
      <c r="D106" s="6" t="s">
        <v>1600</v>
      </c>
      <c r="E106" s="26"/>
      <c r="F106" s="12" t="s">
        <v>1352</v>
      </c>
      <c r="G106" s="13" t="n">
        <v>46297</v>
      </c>
      <c r="H106" s="10" t="s">
        <v>1601</v>
      </c>
      <c r="I106" s="6"/>
    </row>
    <row r="107" customFormat="false" ht="23.85" hidden="false" customHeight="false" outlineLevel="0" collapsed="false">
      <c r="A107" s="7" t="s">
        <v>910</v>
      </c>
      <c r="B107" s="6" t="s">
        <v>1602</v>
      </c>
      <c r="C107" s="12" t="s">
        <v>130</v>
      </c>
      <c r="D107" s="6" t="s">
        <v>1603</v>
      </c>
      <c r="E107" s="26"/>
      <c r="F107" s="12" t="s">
        <v>1352</v>
      </c>
      <c r="G107" s="13" t="n">
        <v>46297</v>
      </c>
      <c r="H107" s="10" t="s">
        <v>1604</v>
      </c>
      <c r="I107" s="6" t="s">
        <v>1605</v>
      </c>
    </row>
    <row r="108" customFormat="false" ht="23.85" hidden="false" customHeight="false" outlineLevel="0" collapsed="false">
      <c r="A108" s="7" t="s">
        <v>905</v>
      </c>
      <c r="B108" s="6" t="s">
        <v>1606</v>
      </c>
      <c r="C108" s="12" t="s">
        <v>130</v>
      </c>
      <c r="D108" s="6" t="s">
        <v>1607</v>
      </c>
      <c r="E108" s="26"/>
      <c r="F108" s="12" t="s">
        <v>1352</v>
      </c>
      <c r="G108" s="13" t="n">
        <v>46297</v>
      </c>
      <c r="H108" s="10" t="s">
        <v>1608</v>
      </c>
      <c r="I108" s="6" t="s">
        <v>1605</v>
      </c>
    </row>
    <row r="109" customFormat="false" ht="23.85" hidden="false" customHeight="false" outlineLevel="0" collapsed="false">
      <c r="A109" s="7" t="s">
        <v>716</v>
      </c>
      <c r="B109" s="6" t="s">
        <v>1609</v>
      </c>
      <c r="C109" s="12" t="s">
        <v>131</v>
      </c>
      <c r="D109" s="6" t="s">
        <v>1610</v>
      </c>
      <c r="E109" s="26" t="n">
        <v>860</v>
      </c>
      <c r="F109" s="12" t="s">
        <v>1352</v>
      </c>
      <c r="G109" s="13" t="n">
        <v>46297</v>
      </c>
      <c r="H109" s="10" t="s">
        <v>1611</v>
      </c>
      <c r="I109" s="6"/>
    </row>
    <row r="110" customFormat="false" ht="15" hidden="false" customHeight="false" outlineLevel="0" collapsed="false">
      <c r="A110" s="7" t="s">
        <v>782</v>
      </c>
      <c r="B110" s="6" t="s">
        <v>1612</v>
      </c>
      <c r="C110" s="12" t="s">
        <v>131</v>
      </c>
      <c r="D110" s="6" t="s">
        <v>1613</v>
      </c>
      <c r="E110" s="26"/>
      <c r="F110" s="12" t="s">
        <v>1352</v>
      </c>
      <c r="G110" s="13" t="n">
        <v>46297</v>
      </c>
      <c r="H110" s="10" t="s">
        <v>1614</v>
      </c>
      <c r="I110" s="6"/>
    </row>
    <row r="111" customFormat="false" ht="23.85" hidden="false" customHeight="false" outlineLevel="0" collapsed="false">
      <c r="A111" s="7" t="s">
        <v>1014</v>
      </c>
      <c r="B111" s="6" t="s">
        <v>1615</v>
      </c>
      <c r="C111" s="12" t="s">
        <v>131</v>
      </c>
      <c r="D111" s="6" t="s">
        <v>1616</v>
      </c>
      <c r="E111" s="26"/>
      <c r="F111" s="12" t="s">
        <v>1555</v>
      </c>
      <c r="G111" s="13" t="n">
        <v>46297</v>
      </c>
      <c r="H111" s="10" t="s">
        <v>1617</v>
      </c>
      <c r="I111" s="6"/>
    </row>
    <row r="112" customFormat="false" ht="23.85" hidden="false" customHeight="false" outlineLevel="0" collapsed="false">
      <c r="A112" s="7" t="s">
        <v>991</v>
      </c>
      <c r="B112" s="6" t="s">
        <v>1618</v>
      </c>
      <c r="C112" s="12" t="s">
        <v>131</v>
      </c>
      <c r="D112" s="6" t="s">
        <v>1619</v>
      </c>
      <c r="E112" s="26"/>
      <c r="F112" s="12" t="s">
        <v>1555</v>
      </c>
      <c r="G112" s="13" t="n">
        <v>46297</v>
      </c>
      <c r="H112" s="10" t="s">
        <v>1617</v>
      </c>
      <c r="I112" s="6"/>
    </row>
    <row r="113" customFormat="false" ht="15" hidden="false" customHeight="false" outlineLevel="0" collapsed="false">
      <c r="A113" s="7" t="s">
        <v>796</v>
      </c>
      <c r="B113" s="6" t="s">
        <v>1620</v>
      </c>
      <c r="C113" s="12" t="s">
        <v>130</v>
      </c>
      <c r="D113" s="6" t="s">
        <v>1621</v>
      </c>
      <c r="E113" s="26" t="n">
        <v>9142</v>
      </c>
      <c r="F113" s="12" t="s">
        <v>1352</v>
      </c>
      <c r="G113" s="13" t="n">
        <v>46297</v>
      </c>
      <c r="H113" s="10" t="s">
        <v>1622</v>
      </c>
      <c r="I113" s="6" t="s">
        <v>1623</v>
      </c>
    </row>
    <row r="114" customFormat="false" ht="15" hidden="false" customHeight="false" outlineLevel="0" collapsed="false">
      <c r="A114" s="7" t="s">
        <v>796</v>
      </c>
      <c r="B114" s="6" t="s">
        <v>1620</v>
      </c>
      <c r="C114" s="12" t="s">
        <v>131</v>
      </c>
      <c r="D114" s="6" t="s">
        <v>1624</v>
      </c>
      <c r="E114" s="26" t="n">
        <v>1523</v>
      </c>
      <c r="F114" s="12" t="s">
        <v>1352</v>
      </c>
      <c r="G114" s="13" t="n">
        <v>46297</v>
      </c>
      <c r="H114" s="10" t="s">
        <v>1625</v>
      </c>
      <c r="I114" s="6" t="s">
        <v>1623</v>
      </c>
    </row>
  </sheetData>
  <autoFilter ref="A4:I114"/>
  <hyperlinks>
    <hyperlink ref="H5" r:id="rId1" display="https://www.zepto.com/pn/amul-taaza-toned-fresh-milk-pouch/pvid/9d447ba5-1d35-46e1-bc64-e932135d026f"/>
    <hyperlink ref="H6" r:id="rId2" display="https://www.bigbasket.com/product-reviews/1202684/amul-taaza-homogenised-toned-milk-6x1-l/"/>
    <hyperlink ref="H7" r:id="rId3" display="https://blinkit.com/prn/amul-taaza-toned-milk/prid/19512"/>
    <hyperlink ref="H8" r:id="rId4" display="https://www.bigbasket.com/pd/70001832/amul-taaza-fresh-toned-milk-200-ml-carton/"/>
    <hyperlink ref="H9" r:id="rId5" display="https://www.zepto.com/pn/amul-gold-full-cream-fresh-milk-pouch/pvid/51d55eac-ca29-4532-9b32-9b7d317f346a"/>
    <hyperlink ref="H10" r:id="rId6" display="https://www.zepto.com/pn/amul-gold-full-cream-fresh-milk-pouch/pvid/a3277b40-243f-4bd5-a38e-af3a77b837e1"/>
    <hyperlink ref="H11" r:id="rId7" display="https://blinkit.com/prn/amul-gold-full-cream-milk/prid/12872"/>
    <hyperlink ref="H12" r:id="rId8" display="https://www.bigbasket.com/pd/40090893/amul-amul-gold-500-ml-pouch/"/>
    <hyperlink ref="H13" r:id="rId9" display="https://www.zepto.com/pn/mother-dairy-cow-fresh-milk-pouch/pvid/3b2f7706-f70f-474d-911b-13aebfa73bcc"/>
    <hyperlink ref="H14" r:id="rId10" display="https://blinkit.com/prn/mother-dairy-cow-milk/prid/339309"/>
    <hyperlink ref="H15" r:id="rId11" display="https://www.swiggy.com/instamart/p/mother-dairy-cow-milk-NDK4IQP8PU"/>
    <hyperlink ref="H16" r:id="rId12" display="https://www.bigbasket.com/pd/40147030/mother-dairy-cow-milk-500-ml-pouch/"/>
    <hyperlink ref="H17" r:id="rId13" display="https://www.zepto.com/pn/country-delight-cow-fresh-milk-pouch/pvid/ed495088-935c-44a9-919b-b667fde1ac87"/>
    <hyperlink ref="H18" r:id="rId14" display="https://www.zepto.com/pn/country-delight-natural-fresh-cow-milk-25g-protein-pouch/pvid/f1f1d95f-ada9-48f7-ab10-f094bb40337b"/>
    <hyperlink ref="H19" r:id="rId15" display="https://blinkit.com/prn/country-delight-cow-milk/prid/637875"/>
    <hyperlink ref="H20" r:id="rId16" display="https://www.swiggy.com/instamart/p/country-delight-cow-milk-FJJPD63RDQ"/>
    <hyperlink ref="H21" r:id="rId17" display="https://www.zepto.com/pn/amul-masti-set-curd-tub/pvid/cf8c88da-d6d3-40af-893c-db15c351513b"/>
    <hyperlink ref="H22" r:id="rId18" display="https://www.bigbasket.com/pd/30000356/amul-masti-dahi-200-g-cup/"/>
    <hyperlink ref="H23" r:id="rId19" display="https://www.bigbasket.com/product-reviews/1209011/amul-masti-dahi-5x85-g-cup/"/>
    <hyperlink ref="H24" r:id="rId20" display="https://blinkit.com/prn/amul-masti-pouch-curd/prid/99407"/>
    <hyperlink ref="H25" r:id="rId21" display="https://www.zepto.com/pn/amul-salted-butter/pvid/fc2ffbca-a36b-4728-b6be-3168475f3b75"/>
    <hyperlink ref="H26" r:id="rId22" display="https://blinkit.com/prn/amul-salted-butter/prid/160"/>
    <hyperlink ref="H27" r:id="rId23" display="https://www.fantasticfood.in/food/amul-butter-500g"/>
    <hyperlink ref="H28" r:id="rId24" display="https://www.zepto.com/pn/amul-fresh-malai-paneer/pvid/54099eb2-2d08-4013-a822-a3eebc72f19f"/>
    <hyperlink ref="H29" r:id="rId25" display="https://blinkit.com/prn/amul-malai-paneer/prid/191"/>
    <hyperlink ref="H30" r:id="rId26" display="https://www.bigbasket.com/pd/40096747/amul-malai-fresh-paneer-200-g/"/>
    <hyperlink ref="H31" r:id="rId27" display="https://www.zepto.com/pn/amul-cow-ghee-pouch-classic-authentic/pvid/c9f11f97-fdec-4f73-a7da-b83f599ef2f5"/>
    <hyperlink ref="H32" r:id="rId28" display="https://www.swiggy.com/instamart/p/amul-high-aroma-cow-ghee-jar-XJD6YC5D62"/>
    <hyperlink ref="H33" r:id="rId29" display="https://www.bigbasket.com/pd/40050538/amul-cow-ghee-200-ml-jar/"/>
    <hyperlink ref="H34" r:id="rId30" display="https://www.zepto.com/pn/aashirvaad-select-cow-ghee-made-with-cultured-curd-method/pvid/cf9fc46a-6fc6-44b8-bb65-efba05dac42c"/>
    <hyperlink ref="H35" r:id="rId31" display="https://www.bigbasket.com/pd/40119174/aashirvaad-svasti-cow-ghee-1-l/"/>
    <hyperlink ref="H36" r:id="rId32" display="https://www.swiggy.com/instamart/p/aashirvaad-svasti-pure-cow-ghee-pouch-8UT03L73WS"/>
    <hyperlink ref="H37" r:id="rId33" display="https://www.bigbasket.com/product-reviews/1235617/aashirvaad-superior-mp-atta-3x2-kg/"/>
    <hyperlink ref="H38" r:id="rId34" display="https://www.zepto.com/pn/superior-mp-wheat-atta-0-maida-aashirvaad/pvid/d156ac8e-53c1-4f40-aea8-3de5b28f948d"/>
    <hyperlink ref="H39" r:id="rId35" display="https://blinkit.com/prn/aashirvaad-superior-mp-chakki-atta-0-maida-100-atta/prid/344107"/>
    <hyperlink ref="H40" r:id="rId36" display="https://www.swiggy.com/instamart/p/aashirvaad-superior-mp-atta-100-whole-wheat-flour-0-maida-J69QCY4JAN"/>
    <hyperlink ref="H41" r:id="rId37" display="https://www.zepto.com/pn/tata-salt-free-flowing-and-iodized-namak-vacuum-evaporated-salt-in-fresh/pvid/208bdb3c-da54-493a-9cb1-5b6c159ae9e1"/>
    <hyperlink ref="H42" r:id="rId38" display="https://blinkit.com/prn/tata-salt-vacuum-evaporated-iodised/prid/105"/>
    <hyperlink ref="H43" r:id="rId39" display="https://www.swiggy.com/instamart/p/tata-salt-iodised-namak-vacuum-evaporated-salt-UEURIRMFHO"/>
    <hyperlink ref="H44" r:id="rId40" display="https://www.bigbasket.com/product-reviews/30000590/india-gate-basmati-rice-feast-rozzana-1-kg-pouch/"/>
    <hyperlink ref="H45" r:id="rId41" display="https://www.zepto.com/pn/india-gate-all-rounder-feast-rozzana-basmati-rice-aged-rice-fluffy-and-non-sticky/pvid/75118c7a-2b92-441a-995c-ea416b67c05e"/>
    <hyperlink ref="H46" r:id="rId42" display="https://www.swiggy.com/instamart/p/india-gate-basmati-rice-feast-rozzana-X1D0V8WZ2T"/>
    <hyperlink ref="H47" r:id="rId43" display="https://www.zepto.com/pn/fortune-kachi-ghani-pure-mustard-oil-jar/pvid/ad176cf4-ea73-45a8-bcc1-0fd1fe475236"/>
    <hyperlink ref="H48" r:id="rId44" display="https://blinkit.com/prn/fortune-premium-kachi-ghani-pure-mustard-oil/prid/50"/>
    <hyperlink ref="H49" r:id="rId45" display="https://www.bigbasket.com/pd/276764/fortune-fortune-premium-kachi-ghani-pure-mustard-oil-500-ml-bottle/"/>
    <hyperlink ref="H50" r:id="rId46" display="https://www.zepto.com/pn/fortune-soya-chunks-pouch/pvid/ac6a76c9-5131-4855-963d-be340c0a0f4a"/>
    <hyperlink ref="H51" r:id="rId47" display="https://www.bigbasket.com/product-reviews/40019481/fortune-soya-chunks-15x-more-protein-than-milk-200-g-carton/"/>
    <hyperlink ref="H52" r:id="rId48" display="https://blinkit.com/prn/fortune-soya-chunks/prid/17571"/>
    <hyperlink ref="H53" r:id="rId49" display="https://www.zepto.com/pn/maggi-masala-ae-magic-sabzi-masala/pvid/e3c9d6f1-6854-49ad-b31c-42a33ccf2d60"/>
    <hyperlink ref="H54" r:id="rId50" display="https://www.bigbasket.com/pd/40222045/maggi-masala-ae-magic-all-in-one-masala-for-dry-vegetables-paneer-dal-more-120-g/"/>
    <hyperlink ref="H55" r:id="rId51" display="https://blinkit.com/prn/maggi-masala-ae-magic-sabzi-masala/prid/383252"/>
    <hyperlink ref="H56" r:id="rId52" display="https://www.swiggy.com/instamart/p/maggi-masala-ae-magic-HXU8O1FGXT"/>
    <hyperlink ref="H57" r:id="rId53" display="https://www.zepto.com/pn/mdh-deggi-mirch-powder/pvid/e894a7e7-44b2-4bbe-a72f-ce910cfe6c80"/>
    <hyperlink ref="H58" r:id="rId54" display="https://www.bigbasket.com/pd/260799/mdh-powder-deggi-mirch-100-g-carton/"/>
    <hyperlink ref="H59" r:id="rId55" display="https://blinkit.com/prn/mdh-deggi-red-chilli-powder/prid/86"/>
    <hyperlink ref="H60" r:id="rId56" display="https://www.zepto.com/pn/everest-kashmiri-lal-chilli-powder/pvid/b5968a05-9660-4aa0-af5d-2841695352e8"/>
    <hyperlink ref="H61" r:id="rId57" display="https://www.zepto.com/pn/everest-kashmiri-lal-chilli-powder/pvid/8295695a-71e2-4675-940b-d697c60ea7e1"/>
    <hyperlink ref="H62" r:id="rId58" display="https://www.swiggy.com/instamart/p/everest-kashmirilal-brilliant-red-chilli-powder-91WZ35WQNQ"/>
    <hyperlink ref="H63" r:id="rId59" display="https://www.bigbasket.com/pd/40059446/everest-powder-kashmirilal-chilli-50-g/"/>
    <hyperlink ref="H64" r:id="rId60" display="https://www.bigbasket.com/pd/40002086/brooke-bond-tea-taaza-250-g-pouch/"/>
    <hyperlink ref="H65" r:id="rId61" display="https://www.zepto.com/pn/taaza-tea/pvid/199bd75d-a96b-44cb-bf3a-fb24fe3d71da"/>
    <hyperlink ref="H66" r:id="rId62" display="https://blinkit.com/prn/brooke-bond-taaza-tea-250-g-pack-of-2/prid/483354"/>
    <hyperlink ref="H67" r:id="rId63" display="https://www.zepto.com/pn/nescafe-classic-instant-coffee-powder-pure-coffee-sachets/pvid/c6f424e1-01e7-4d5f-9514-d246afe8b86b"/>
    <hyperlink ref="H68" r:id="rId64" display="https://blinkit.com/prn/nescafe-classic-100-pure-instant-coffee-powder/prid/476609"/>
    <hyperlink ref="H69" r:id="rId65" display="https://www.swiggy.com/stores/instamart/p/nescafe-classic-instant-coffee-powder-with-over-analyzer-mug-H0D5KMFZ9X"/>
    <hyperlink ref="H70" r:id="rId66" display="https://www.bigbasket.com/pd/267376/nescafe-classic-100-pure-instant-coffee-25-g-jar/"/>
    <hyperlink ref="H71" r:id="rId67" display="https://blinkit.com/prn/kissan-fresh-tomato-ketchup/prid/476046"/>
    <hyperlink ref="H72" r:id="rId68" display="https://www.zepto.com/pn/kissan-fresh-tomato-ketchup/pvid/065707f5-d5fc-4c08-a13a-caba8e89a63c"/>
    <hyperlink ref="H73" r:id="rId69" display="https://www.bigbasket.com/pd/266541/kissan-fresh-tomato-ketchup-500-g-bottle/"/>
    <hyperlink ref="H74" r:id="rId70" display="https://www.zepto.com/pn/kelloggs-corn-flakes/pvid/46fa29da-b407-4a95-836a-670e4961bfe7"/>
    <hyperlink ref="H75" r:id="rId71" display="https://www.zepto.com/pn/kelloggs-original-corn-flakes/pvid/bd5b6424-330a-4392-a4d8-aad748363acc"/>
    <hyperlink ref="H76" r:id="rId72" display="https://www.zeptonow.com/pn/kelloggs-original-corn-flakes/pvid/bce3d20a-69b0-47a0-80ef-324d2f5ac959"/>
    <hyperlink ref="H77" r:id="rId73" display="https://blinkit.com/prn/kelloggs-original-cereals-corn-flakes/prid/129"/>
    <hyperlink ref="H78" r:id="rId74" display="https://blinkit.com/prn/kelloggs-original-corn-flakes/prid/406721"/>
    <hyperlink ref="H79" r:id="rId75" display="https://www.zepto.com/pn/saffola-oats-instant-rolled-oats-soft-creamy-oats-power-of-protein-iron-fibre/pvid/e14564e8-eb16-452b-b18e-04f088f4f99e"/>
    <hyperlink ref="H80" r:id="rId76" display="https://blinkit.com/prn/saffola-natural-instant-oats-500-g/prid/24626"/>
    <hyperlink ref="H81" r:id="rId77" display="https://www.zepto.com/pn/haldirams-salted-peanut/pvid/433d67d1-416e-431c-921b-84898116b255"/>
    <hyperlink ref="H82" r:id="rId78" display="https://blinkit.com/prn/haldirams-classic-salted-peanuts/prid/605"/>
    <hyperlink ref="H83" r:id="rId79" display="https://www.swiggy.com/stores/instamart/p/haldiram-delhi-classic-salted-peanuts-SMAHT7DMNY"/>
    <hyperlink ref="H84" r:id="rId80" display="https://www.bigbasket.com/pd/20002982/haldirams-namkeen-salted-peanuts-40-g-pouch/"/>
    <hyperlink ref="H85" r:id="rId81" display="https://blinkit.com/prn/britannia-100-whole-wheat-bread/prid/127031"/>
    <hyperlink ref="H86" r:id="rId82" display="https://www.swiggy.com/instamart/p/britannia-100-whole-wheat-bread-no-maida-JKIZPNZMWB"/>
    <hyperlink ref="H87" r:id="rId83" display="https://www.bigbasket.com/pd/40062411/britannia-whole-wheat-bread-rich-in-dietary-fibre-450-g/"/>
    <hyperlink ref="H88" r:id="rId84" display="https://blinkit.com/prn/cadbury-bournville-rich-cocoa-50-dark-chocolate-bar/prid/556"/>
    <hyperlink ref="H89" r:id="rId85" display="https://blinkit.com/brand/Cadbury%20Bournville"/>
    <hyperlink ref="H90" r:id="rId86" display="https://www.zepto.com/pn/pintola-all-natural-peanut-butter-crunchy/pvid/a2b3f4dd-5c83-472b-801c-158e2845231d"/>
    <hyperlink ref="H91" r:id="rId87" display="https://blinkit.com/prn/pintola-all-natural-crunchy-peanut-butter-unsweetened/prid/425544"/>
    <hyperlink ref="H92" r:id="rId88" display="https://www.bigbasket.com/pd/40127459/pintola-organic-peanut-butter-crunchy-unsweetened-100-natural-350-g/"/>
    <hyperlink ref="H93" r:id="rId89" display="https://www.zepto.com/pn/sundrop-peanut-butter-creamy-jar/pvid/fe1db8af-fad9-45f9-be6f-acf7277bc43c"/>
    <hyperlink ref="H94" r:id="rId90" display="https://www.zepto.com/pn/sundrop-peanut-butter-100-natural-creamy/pvid/8c40bdfc-92a6-4a4a-8413-970d2ab24bbe"/>
    <hyperlink ref="H95" r:id="rId91" display="https://blinkit.com/prn/sundrop-creamy-peanut-butter/prid/166"/>
    <hyperlink ref="H96" r:id="rId92" display="https://blinkit.com/prn/sundrop-creamy-peanut-butter/prid/404622"/>
    <hyperlink ref="H97" r:id="rId93" display="https://www.zeptonow.com/brand/Sundrop?spvid=48e07191-1911-425e-a71f-7b302308c306&amp;cart=open"/>
    <hyperlink ref="H98" r:id="rId94" display="https://www.zepto.com/pn/alpino-natural-peanut-butter-crunch-unsweetened/pvid/5a38f84a-1acc-46f7-87fa-534cb9917389"/>
    <hyperlink ref="H99" r:id="rId95" display="https://blinkit.com/prn/alpino-natural-smooth-unsweetened-peanut-butter/prid/460593"/>
    <hyperlink ref="H100" r:id="rId96" display="https://www.zepto.com/pn/alpino-natural-peanut-butter-smooth-high-protein-peanut-butter-creamy-gluten-free-vegan/pvid/183e6f89-12dd-407f-8e57-96337930ff03"/>
    <hyperlink ref="H101" r:id="rId97" display="https://www.zepto.com/pn/patanjali-honey-natural-shahed-no-added-sugar-sahad/pvid/04b32871-ec18-4508-ac86-07403f338c72"/>
    <hyperlink ref="H102" r:id="rId98" display="https://blinkit.com/prn/patanjali-honey/prid/10732"/>
    <hyperlink ref="H103" r:id="rId99" display="https://www.zepto.com/pn/saffola-honey-active-made-with-forest-honey-pure-honey-no-sugar-adulteration/pvid/1ecef729-ac17-4f2f-b7da-04b9bb3e0673"/>
    <hyperlink ref="H104" r:id="rId100" display="https://www.zepto.com/pn/saffola-honey-active-made-with-forest-honey-pure-honey-no-sugar-adulteration/pvid/60963468-92f1-45d8-a876-e5fe20606a2d"/>
    <hyperlink ref="H105" r:id="rId101" display="https://blinkit.com/prn/saffola-honey-active-500-g/prid/425301"/>
    <hyperlink ref="H106" r:id="rId102" display="https://blinkit.com/prn/saffola-honey-active/prid/425302"/>
    <hyperlink ref="H107" r:id="rId103" display="https://blinkit.com/prn/muscleblaze-biozyme-performance-whey-protein-rich-chocolate/prid/539304"/>
    <hyperlink ref="H108" r:id="rId104" display="https://blinkit.com/prn/muscleblaze-biozyme-iso-zero-100percent-pure-whey-protein-(ice-cream-chocolate)/prid/548029"/>
    <hyperlink ref="H109" r:id="rId105" display="https://www.zepto.com/pn/the-whole-truth-crunchy-dark-chocolate-peanut-butter/pvid/d1e65392-14d3-4214-b6fa-9891465d70fe"/>
    <hyperlink ref="H110" r:id="rId106" display="https://www.zeptonow.com/pn/the-whole-truth-peanut-butter-protein-bar/pvid/0b313bc4-9c87-49e0-9403-fca8ea70bc25"/>
    <hyperlink ref="H111" r:id="rId107" display="https://www.zepto.com/brand/The_whole_truth/a95ddf16-f4e2-4933-845c-b95defe6c44f"/>
    <hyperlink ref="H112" r:id="rId108" display="https://www.zepto.com/brand/The_whole_truth/a95ddf16-f4e2-4933-845c-b95defe6c44f"/>
    <hyperlink ref="H113" r:id="rId109" display="https://blinkit.com/prn/yoga-bar-assorted-breakfast-protein-bar-pack-of-6/prid/475628"/>
    <hyperlink ref="H114" r:id="rId110" display="https://www.zepto.com/pn/yoga-bar-power-up-20g-protein-bar-coffee-crush-no-added-sugar/pvid/0e9cca8e-0250-4e3a-aa15-c498248a7c9d"/>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34"/>
    <col collapsed="false" customWidth="true" hidden="false" outlineLevel="0" max="4" min="4" style="0" width="70"/>
    <col collapsed="false" customWidth="true" hidden="false" outlineLevel="0" max="5" min="5" style="0" width="62"/>
    <col collapsed="false" customWidth="true" hidden="false" outlineLevel="0" max="6" min="6" style="0" width="22"/>
  </cols>
  <sheetData>
    <row r="1" customFormat="false" ht="21.75" hidden="false" customHeight="true" outlineLevel="0" collapsed="false">
      <c r="A1" s="1" t="s">
        <v>1626</v>
      </c>
    </row>
    <row r="2" customFormat="false" ht="15" hidden="false" customHeight="false" outlineLevel="0" collapsed="false">
      <c r="A2" s="2" t="s">
        <v>1627</v>
      </c>
    </row>
    <row r="4" customFormat="false" ht="25.5" hidden="false" customHeight="true" outlineLevel="0" collapsed="false">
      <c r="A4" s="11" t="s">
        <v>1344</v>
      </c>
      <c r="B4" s="11" t="s">
        <v>1628</v>
      </c>
      <c r="C4" s="11" t="s">
        <v>1629</v>
      </c>
      <c r="D4" s="11" t="s">
        <v>1630</v>
      </c>
      <c r="E4" s="11" t="s">
        <v>1631</v>
      </c>
      <c r="F4" s="11" t="s">
        <v>108</v>
      </c>
    </row>
    <row r="5" customFormat="false" ht="35.05" hidden="false" customHeight="false" outlineLevel="0" collapsed="false">
      <c r="A5" s="6" t="s">
        <v>1632</v>
      </c>
      <c r="B5" s="6" t="s">
        <v>1633</v>
      </c>
      <c r="C5" s="6" t="s">
        <v>1634</v>
      </c>
      <c r="D5" s="6" t="s">
        <v>1635</v>
      </c>
      <c r="E5" s="6" t="s">
        <v>1636</v>
      </c>
      <c r="F5" s="6" t="s">
        <v>1637</v>
      </c>
    </row>
    <row r="6" customFormat="false" ht="23.85" hidden="false" customHeight="false" outlineLevel="0" collapsed="false">
      <c r="A6" s="6" t="s">
        <v>132</v>
      </c>
      <c r="B6" s="6" t="s">
        <v>1638</v>
      </c>
      <c r="C6" s="6" t="s">
        <v>1639</v>
      </c>
      <c r="D6" s="6" t="s">
        <v>1640</v>
      </c>
      <c r="E6" s="6" t="s">
        <v>1641</v>
      </c>
      <c r="F6" s="27" t="s">
        <v>1642</v>
      </c>
    </row>
    <row r="7" customFormat="false" ht="15" hidden="false" customHeight="false" outlineLevel="0" collapsed="false">
      <c r="A7" s="6" t="s">
        <v>130</v>
      </c>
      <c r="B7" s="6" t="s">
        <v>1638</v>
      </c>
      <c r="C7" s="6" t="s">
        <v>1643</v>
      </c>
      <c r="D7" s="6" t="s">
        <v>1644</v>
      </c>
      <c r="E7" s="6" t="s">
        <v>1645</v>
      </c>
      <c r="F7" s="27" t="s">
        <v>1642</v>
      </c>
    </row>
    <row r="8" customFormat="false" ht="23.85" hidden="false" customHeight="false" outlineLevel="0" collapsed="false">
      <c r="A8" s="6" t="s">
        <v>131</v>
      </c>
      <c r="B8" s="6" t="s">
        <v>1646</v>
      </c>
      <c r="C8" s="6" t="s">
        <v>1647</v>
      </c>
      <c r="D8" s="6" t="s">
        <v>1648</v>
      </c>
      <c r="E8" s="6" t="s">
        <v>1649</v>
      </c>
      <c r="F8" s="27" t="s">
        <v>1650</v>
      </c>
    </row>
    <row r="9" customFormat="false" ht="15" hidden="false" customHeight="false" outlineLevel="0" collapsed="false">
      <c r="A9" s="6" t="s">
        <v>132</v>
      </c>
      <c r="B9" s="6" t="s">
        <v>1646</v>
      </c>
      <c r="C9" s="6" t="s">
        <v>1651</v>
      </c>
      <c r="D9" s="6" t="s">
        <v>1652</v>
      </c>
      <c r="E9" s="6" t="s">
        <v>1653</v>
      </c>
      <c r="F9" s="27" t="s">
        <v>1654</v>
      </c>
    </row>
    <row r="10" customFormat="false" ht="23.85" hidden="false" customHeight="false" outlineLevel="0" collapsed="false">
      <c r="A10" s="6" t="s">
        <v>130</v>
      </c>
      <c r="B10" s="6" t="s">
        <v>1646</v>
      </c>
      <c r="C10" s="6" t="s">
        <v>1655</v>
      </c>
      <c r="D10" s="6" t="s">
        <v>1656</v>
      </c>
      <c r="E10" s="6" t="s">
        <v>1657</v>
      </c>
      <c r="F10" s="27" t="s">
        <v>1658</v>
      </c>
    </row>
    <row r="11" customFormat="false" ht="23.85" hidden="false" customHeight="false" outlineLevel="0" collapsed="false">
      <c r="A11" s="6" t="s">
        <v>1659</v>
      </c>
      <c r="B11" s="6" t="s">
        <v>1660</v>
      </c>
      <c r="C11" s="6" t="s">
        <v>1661</v>
      </c>
      <c r="D11" s="6" t="s">
        <v>1662</v>
      </c>
      <c r="E11" s="6" t="s">
        <v>1663</v>
      </c>
      <c r="F11" s="27" t="s">
        <v>1664</v>
      </c>
    </row>
    <row r="12" customFormat="false" ht="15" hidden="false" customHeight="false" outlineLevel="0" collapsed="false">
      <c r="A12" s="6" t="s">
        <v>1665</v>
      </c>
      <c r="B12" s="6" t="s">
        <v>1646</v>
      </c>
      <c r="C12" s="6" t="s">
        <v>1666</v>
      </c>
      <c r="D12" s="6" t="s">
        <v>1667</v>
      </c>
      <c r="E12" s="6" t="s">
        <v>1668</v>
      </c>
      <c r="F12" s="27" t="s">
        <v>1669</v>
      </c>
    </row>
    <row r="13" customFormat="false" ht="23.85" hidden="false" customHeight="false" outlineLevel="0" collapsed="false">
      <c r="A13" s="6" t="s">
        <v>1665</v>
      </c>
      <c r="B13" s="6" t="s">
        <v>1670</v>
      </c>
      <c r="C13" s="6" t="s">
        <v>1671</v>
      </c>
      <c r="D13" s="6" t="s">
        <v>1672</v>
      </c>
      <c r="E13" s="6" t="s">
        <v>1673</v>
      </c>
      <c r="F13" s="27" t="s">
        <v>1674</v>
      </c>
    </row>
    <row r="14" customFormat="false" ht="15" hidden="false" customHeight="false" outlineLevel="0" collapsed="false">
      <c r="A14" s="6" t="s">
        <v>1675</v>
      </c>
      <c r="B14" s="6" t="s">
        <v>1676</v>
      </c>
      <c r="C14" s="6" t="s">
        <v>1677</v>
      </c>
      <c r="D14" s="6" t="s">
        <v>1678</v>
      </c>
      <c r="E14" s="6" t="s">
        <v>1679</v>
      </c>
      <c r="F14" s="6" t="s">
        <v>1680</v>
      </c>
    </row>
  </sheetData>
  <hyperlinks>
    <hyperlink ref="F6" r:id="rId1" display="NewsBytes"/>
    <hyperlink ref="F7" r:id="rId2" display="NewsBytes"/>
    <hyperlink ref="F8" r:id="rId3" display="afaqs"/>
    <hyperlink ref="F9" r:id="rId4" display="BestMediaInfo"/>
    <hyperlink ref="F10" r:id="rId5" display="Media4Growth"/>
    <hyperlink ref="F11" r:id="rId6" display="MetricsCart"/>
    <hyperlink ref="F12" r:id="rId7" display="Bloomberg"/>
    <hyperlink ref="F13" r:id="rId8" display="CIIM blog"/>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62"/>
    <col collapsed="false" customWidth="true" hidden="false" outlineLevel="0" max="4" min="4" style="0" width="28"/>
    <col collapsed="false" customWidth="true" hidden="false" outlineLevel="0" max="5" min="5" style="0" width="52"/>
    <col collapsed="false" customWidth="true" hidden="false" outlineLevel="0" max="6" min="6" style="0" width="56"/>
  </cols>
  <sheetData>
    <row r="1" customFormat="false" ht="21.75" hidden="false" customHeight="true" outlineLevel="0" collapsed="false">
      <c r="A1" s="1" t="s">
        <v>1681</v>
      </c>
    </row>
    <row r="2" customFormat="false" ht="15" hidden="false" customHeight="false" outlineLevel="0" collapsed="false">
      <c r="A2" s="2" t="s">
        <v>1682</v>
      </c>
    </row>
    <row r="4" customFormat="false" ht="25.5" hidden="false" customHeight="true" outlineLevel="0" collapsed="false">
      <c r="A4" s="11" t="s">
        <v>108</v>
      </c>
      <c r="B4" s="11" t="s">
        <v>1683</v>
      </c>
      <c r="C4" s="11" t="s">
        <v>1684</v>
      </c>
      <c r="D4" s="11" t="s">
        <v>139</v>
      </c>
      <c r="E4" s="11" t="s">
        <v>1685</v>
      </c>
      <c r="F4" s="11" t="s">
        <v>1686</v>
      </c>
    </row>
    <row r="5" customFormat="false" ht="35.05" hidden="false" customHeight="false" outlineLevel="0" collapsed="false">
      <c r="A5" s="5" t="s">
        <v>1687</v>
      </c>
      <c r="B5" s="27" t="s">
        <v>61</v>
      </c>
      <c r="C5" s="6" t="s">
        <v>1688</v>
      </c>
      <c r="D5" s="6" t="s">
        <v>1689</v>
      </c>
      <c r="E5" s="6" t="s">
        <v>1690</v>
      </c>
      <c r="F5" s="6" t="s">
        <v>1691</v>
      </c>
    </row>
    <row r="6" customFormat="false" ht="35.05" hidden="false" customHeight="false" outlineLevel="0" collapsed="false">
      <c r="A6" s="5" t="s">
        <v>1692</v>
      </c>
      <c r="B6" s="27" t="s">
        <v>65</v>
      </c>
      <c r="C6" s="6" t="s">
        <v>1693</v>
      </c>
      <c r="D6" s="6" t="s">
        <v>1694</v>
      </c>
      <c r="E6" s="6" t="s">
        <v>1695</v>
      </c>
      <c r="F6" s="6" t="s">
        <v>1696</v>
      </c>
    </row>
    <row r="7" customFormat="false" ht="23.85" hidden="false" customHeight="false" outlineLevel="0" collapsed="false">
      <c r="A7" s="5" t="s">
        <v>1697</v>
      </c>
      <c r="B7" s="27" t="s">
        <v>63</v>
      </c>
      <c r="C7" s="6" t="s">
        <v>1698</v>
      </c>
      <c r="D7" s="6" t="s">
        <v>1694</v>
      </c>
      <c r="E7" s="6" t="s">
        <v>1695</v>
      </c>
      <c r="F7" s="6" t="s">
        <v>1699</v>
      </c>
    </row>
    <row r="8" customFormat="false" ht="46.25" hidden="false" customHeight="false" outlineLevel="0" collapsed="false">
      <c r="A8" s="5" t="s">
        <v>1700</v>
      </c>
      <c r="B8" s="27" t="s">
        <v>73</v>
      </c>
      <c r="C8" s="6" t="s">
        <v>1701</v>
      </c>
      <c r="D8" s="6" t="s">
        <v>1702</v>
      </c>
      <c r="E8" s="6" t="s">
        <v>1703</v>
      </c>
      <c r="F8" s="6" t="s">
        <v>1704</v>
      </c>
    </row>
    <row r="9" customFormat="false" ht="23.85" hidden="false" customHeight="false" outlineLevel="0" collapsed="false">
      <c r="A9" s="5" t="s">
        <v>1705</v>
      </c>
      <c r="B9" s="27" t="s">
        <v>1706</v>
      </c>
      <c r="C9" s="6" t="s">
        <v>1707</v>
      </c>
      <c r="D9" s="6" t="s">
        <v>1708</v>
      </c>
      <c r="E9" s="6" t="s">
        <v>1709</v>
      </c>
      <c r="F9" s="6" t="s">
        <v>1710</v>
      </c>
    </row>
    <row r="10" customFormat="false" ht="35.05" hidden="false" customHeight="false" outlineLevel="0" collapsed="false">
      <c r="A10" s="5" t="s">
        <v>203</v>
      </c>
      <c r="B10" s="27" t="s">
        <v>75</v>
      </c>
      <c r="C10" s="6" t="s">
        <v>1711</v>
      </c>
      <c r="D10" s="6" t="s">
        <v>1712</v>
      </c>
      <c r="E10" s="6" t="s">
        <v>1713</v>
      </c>
      <c r="F10" s="6" t="s">
        <v>1714</v>
      </c>
    </row>
  </sheetData>
  <hyperlinks>
    <hyperlink ref="B5" r:id="rId1" display="https://www.trustified.in/passandfail"/>
    <hyperlink ref="B6" r:id="rId2" display="https://www.trustified.in/nut-butters"/>
    <hyperlink ref="B7" r:id="rId3" display="https://www.trustified.in/nmr-reports"/>
    <hyperlink ref="B8" r:id="rId4" display="https://twtprotein.notion.site/Protein-Lab-Test-Reports-1d0fae391f3f4c8f9f398306890cedff"/>
    <hyperlink ref="B9" r:id="rId5" display="https://www.muscleblaze.com"/>
    <hyperlink ref="B10" r:id="rId6" display="https://www.unboxhealth.in/explor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70"/>
    <col collapsed="false" customWidth="true" hidden="false" outlineLevel="0" max="4" min="4" style="0" width="90"/>
  </cols>
  <sheetData>
    <row r="1" customFormat="false" ht="21.75" hidden="false" customHeight="true" outlineLevel="0" collapsed="false">
      <c r="A1" s="1" t="s">
        <v>1715</v>
      </c>
    </row>
    <row r="2" customFormat="false" ht="15" hidden="false" customHeight="false" outlineLevel="0" collapsed="false">
      <c r="A2" s="2" t="s">
        <v>1716</v>
      </c>
    </row>
    <row r="4" customFormat="false" ht="24" hidden="false" customHeight="true" outlineLevel="0" collapsed="false">
      <c r="A4" s="11" t="s">
        <v>1717</v>
      </c>
      <c r="B4" s="11" t="s">
        <v>1718</v>
      </c>
      <c r="C4" s="11" t="s">
        <v>1719</v>
      </c>
    </row>
    <row r="5" customFormat="false" ht="15" hidden="false" customHeight="false" outlineLevel="0" collapsed="false">
      <c r="A5" s="6" t="s">
        <v>1720</v>
      </c>
      <c r="B5" s="28" t="n">
        <v>46297</v>
      </c>
      <c r="C5" s="6" t="s">
        <v>1721</v>
      </c>
    </row>
    <row r="6" customFormat="false" ht="23.85" hidden="false" customHeight="false" outlineLevel="0" collapsed="false">
      <c r="A6" s="6" t="s">
        <v>1722</v>
      </c>
      <c r="B6" s="29" t="n">
        <v>1</v>
      </c>
      <c r="C6" s="6" t="s">
        <v>1723</v>
      </c>
    </row>
    <row r="7" customFormat="false" ht="15" hidden="false" customHeight="false" outlineLevel="0" collapsed="false">
      <c r="A7" s="6" t="s">
        <v>1724</v>
      </c>
      <c r="B7" s="29" t="n">
        <v>2</v>
      </c>
      <c r="C7" s="6" t="s">
        <v>1725</v>
      </c>
    </row>
    <row r="8" customFormat="false" ht="15" hidden="false" customHeight="false" outlineLevel="0" collapsed="false">
      <c r="A8" s="6" t="s">
        <v>1726</v>
      </c>
      <c r="B8" s="29" t="n">
        <v>2</v>
      </c>
      <c r="C8" s="6" t="s">
        <v>1727</v>
      </c>
    </row>
    <row r="9" customFormat="false" ht="15" hidden="false" customHeight="false" outlineLevel="0" collapsed="false">
      <c r="A9" s="6" t="s">
        <v>1728</v>
      </c>
      <c r="B9" s="30" t="n">
        <v>1000</v>
      </c>
      <c r="C9" s="6" t="s">
        <v>1729</v>
      </c>
    </row>
    <row r="10" customFormat="false" ht="15" hidden="false" customHeight="false" outlineLevel="0" collapsed="false">
      <c r="A10" s="6" t="s">
        <v>1730</v>
      </c>
      <c r="B10" s="30" t="n">
        <v>10000</v>
      </c>
      <c r="C10" s="6" t="s">
        <v>1731</v>
      </c>
    </row>
    <row r="11" customFormat="false" ht="15" hidden="false" customHeight="false" outlineLevel="0" collapsed="false">
      <c r="A11" s="6" t="s">
        <v>1732</v>
      </c>
      <c r="B11" s="30" t="n">
        <v>100000</v>
      </c>
      <c r="C11" s="6" t="s">
        <v>1733</v>
      </c>
    </row>
    <row r="12" customFormat="false" ht="15" hidden="false" customHeight="false" outlineLevel="0" collapsed="false">
      <c r="A12" s="6" t="s">
        <v>1734</v>
      </c>
      <c r="B12" s="29" t="n">
        <v>12</v>
      </c>
      <c r="C12" s="6" t="s">
        <v>1735</v>
      </c>
    </row>
    <row r="13" customFormat="false" ht="15" hidden="false" customHeight="false" outlineLevel="0" collapsed="false">
      <c r="A13" s="6" t="s">
        <v>1736</v>
      </c>
      <c r="B13" s="29" t="n">
        <v>2</v>
      </c>
      <c r="C13" s="6"/>
    </row>
    <row r="14" customFormat="false" ht="15" hidden="false" customHeight="false" outlineLevel="0" collapsed="false">
      <c r="A14" s="6" t="s">
        <v>1737</v>
      </c>
      <c r="B14" s="29" t="n">
        <v>24</v>
      </c>
      <c r="C14" s="6" t="s">
        <v>1738</v>
      </c>
    </row>
    <row r="15" customFormat="false" ht="15" hidden="false" customHeight="false" outlineLevel="0" collapsed="false">
      <c r="A15" s="6" t="s">
        <v>1739</v>
      </c>
      <c r="B15" s="29" t="n">
        <v>1</v>
      </c>
      <c r="C15" s="6"/>
    </row>
    <row r="16" customFormat="false" ht="15" hidden="false" customHeight="false" outlineLevel="0" collapsed="false">
      <c r="A16" s="6" t="s">
        <v>1740</v>
      </c>
      <c r="B16" s="29" t="n">
        <v>0</v>
      </c>
      <c r="C16" s="6"/>
    </row>
    <row r="17" customFormat="false" ht="15" hidden="false" customHeight="false" outlineLevel="0" collapsed="false">
      <c r="A17" s="6" t="s">
        <v>1741</v>
      </c>
      <c r="B17" s="29" t="n">
        <v>1</v>
      </c>
      <c r="C17" s="6" t="s">
        <v>1742</v>
      </c>
    </row>
    <row r="18" customFormat="false" ht="15" hidden="false" customHeight="false" outlineLevel="0" collapsed="false">
      <c r="A18" s="6" t="s">
        <v>1743</v>
      </c>
      <c r="B18" s="29" t="n">
        <v>0</v>
      </c>
      <c r="C18" s="6" t="s">
        <v>1744</v>
      </c>
    </row>
    <row r="19" customFormat="false" ht="15" hidden="false" customHeight="false" outlineLevel="0" collapsed="false">
      <c r="A19" s="31" t="s">
        <v>1745</v>
      </c>
      <c r="B19" s="32" t="n">
        <f aca="false">4*B6+3*B7+B8+MAX(B13,B15,B16,B17,B18)</f>
        <v>14</v>
      </c>
      <c r="C19" s="33" t="s">
        <v>1746</v>
      </c>
    </row>
    <row r="21" customFormat="false" ht="24" hidden="false" customHeight="true" outlineLevel="0" collapsed="false">
      <c r="A21" s="11" t="s">
        <v>1747</v>
      </c>
      <c r="B21" s="11" t="s">
        <v>1748</v>
      </c>
      <c r="C21" s="11" t="s">
        <v>1749</v>
      </c>
    </row>
    <row r="22" customFormat="false" ht="15" hidden="false" customHeight="false" outlineLevel="0" collapsed="false">
      <c r="A22" s="34" t="s">
        <v>152</v>
      </c>
      <c r="B22" s="35" t="n">
        <v>1</v>
      </c>
      <c r="C22" s="34" t="s">
        <v>1750</v>
      </c>
    </row>
    <row r="23" customFormat="false" ht="15" hidden="false" customHeight="false" outlineLevel="0" collapsed="false">
      <c r="A23" s="34" t="s">
        <v>277</v>
      </c>
      <c r="B23" s="35" t="n">
        <v>0.75</v>
      </c>
      <c r="C23" s="34" t="s">
        <v>1751</v>
      </c>
    </row>
    <row r="24" customFormat="false" ht="15" hidden="false" customHeight="false" outlineLevel="0" collapsed="false">
      <c r="A24" s="34" t="s">
        <v>284</v>
      </c>
      <c r="B24" s="35" t="n">
        <v>0.5</v>
      </c>
      <c r="C24" s="34" t="s">
        <v>1752</v>
      </c>
    </row>
    <row r="25" customFormat="false" ht="15" hidden="false" customHeight="false" outlineLevel="0" collapsed="false">
      <c r="A25" s="2" t="s">
        <v>1753</v>
      </c>
    </row>
    <row r="26" customFormat="false" ht="31.5" hidden="false" customHeight="true" outlineLevel="0" collapsed="false">
      <c r="A26" s="11" t="s">
        <v>104</v>
      </c>
      <c r="B26" s="11" t="s">
        <v>1754</v>
      </c>
      <c r="C26" s="11" t="s">
        <v>126</v>
      </c>
      <c r="D26" s="11" t="s">
        <v>1347</v>
      </c>
    </row>
    <row r="27" customFormat="false" ht="15" hidden="false" customHeight="false" outlineLevel="0" collapsed="false">
      <c r="A27" s="6" t="s">
        <v>146</v>
      </c>
      <c r="B27" s="29" t="n">
        <v>1</v>
      </c>
      <c r="C27" s="6" t="s">
        <v>145</v>
      </c>
      <c r="D27" s="6" t="s">
        <v>1755</v>
      </c>
    </row>
    <row r="28" customFormat="false" ht="15" hidden="false" customHeight="false" outlineLevel="0" collapsed="false">
      <c r="A28" s="6" t="s">
        <v>181</v>
      </c>
      <c r="B28" s="29" t="n">
        <v>1</v>
      </c>
      <c r="C28" s="6" t="s">
        <v>145</v>
      </c>
      <c r="D28" s="6" t="s">
        <v>1756</v>
      </c>
    </row>
    <row r="29" customFormat="false" ht="15" hidden="false" customHeight="false" outlineLevel="0" collapsed="false">
      <c r="A29" s="6" t="s">
        <v>200</v>
      </c>
      <c r="B29" s="29" t="n">
        <v>1</v>
      </c>
      <c r="C29" s="6" t="s">
        <v>145</v>
      </c>
      <c r="D29" s="6" t="s">
        <v>1757</v>
      </c>
    </row>
    <row r="30" customFormat="false" ht="15" hidden="false" customHeight="false" outlineLevel="0" collapsed="false">
      <c r="A30" s="6" t="s">
        <v>253</v>
      </c>
      <c r="B30" s="29" t="n">
        <v>1</v>
      </c>
      <c r="C30" s="6" t="s">
        <v>145</v>
      </c>
      <c r="D30" s="6" t="s">
        <v>1758</v>
      </c>
    </row>
    <row r="31" customFormat="false" ht="15" hidden="false" customHeight="false" outlineLevel="0" collapsed="false">
      <c r="A31" s="6" t="s">
        <v>263</v>
      </c>
      <c r="B31" s="29" t="n">
        <v>0</v>
      </c>
      <c r="C31" s="6" t="s">
        <v>145</v>
      </c>
      <c r="D31" s="6" t="s">
        <v>1759</v>
      </c>
    </row>
    <row r="32" customFormat="false" ht="15" hidden="false" customHeight="false" outlineLevel="0" collapsed="false">
      <c r="A32" s="6" t="s">
        <v>281</v>
      </c>
      <c r="B32" s="29" t="n">
        <v>0</v>
      </c>
      <c r="C32" s="6" t="s">
        <v>145</v>
      </c>
      <c r="D32" s="6" t="s">
        <v>1759</v>
      </c>
    </row>
    <row r="33" customFormat="false" ht="15" hidden="false" customHeight="false" outlineLevel="0" collapsed="false">
      <c r="A33" s="6" t="s">
        <v>324</v>
      </c>
      <c r="B33" s="29" t="n">
        <v>0</v>
      </c>
      <c r="C33" s="6" t="s">
        <v>145</v>
      </c>
      <c r="D33" s="6" t="s">
        <v>1760</v>
      </c>
    </row>
    <row r="34" customFormat="false" ht="15" hidden="false" customHeight="false" outlineLevel="0" collapsed="false">
      <c r="A34" s="6" t="s">
        <v>349</v>
      </c>
      <c r="B34" s="29" t="n">
        <v>0</v>
      </c>
      <c r="C34" s="6" t="s">
        <v>145</v>
      </c>
      <c r="D34" s="6" t="s">
        <v>1759</v>
      </c>
    </row>
    <row r="35" customFormat="false" ht="15" hidden="false" customHeight="false" outlineLevel="0" collapsed="false">
      <c r="A35" s="6" t="s">
        <v>364</v>
      </c>
      <c r="B35" s="29" t="n">
        <v>0</v>
      </c>
      <c r="C35" s="6" t="s">
        <v>145</v>
      </c>
      <c r="D35" s="6" t="s">
        <v>1759</v>
      </c>
    </row>
    <row r="36" customFormat="false" ht="15" hidden="false" customHeight="false" outlineLevel="0" collapsed="false">
      <c r="A36" s="6" t="s">
        <v>381</v>
      </c>
      <c r="B36" s="29" t="n">
        <v>0</v>
      </c>
      <c r="C36" s="6" t="s">
        <v>145</v>
      </c>
      <c r="D36" s="6" t="s">
        <v>1759</v>
      </c>
    </row>
    <row r="37" customFormat="false" ht="15" hidden="false" customHeight="false" outlineLevel="0" collapsed="false">
      <c r="A37" s="6" t="s">
        <v>389</v>
      </c>
      <c r="B37" s="29" t="n">
        <v>0</v>
      </c>
      <c r="C37" s="6" t="s">
        <v>145</v>
      </c>
      <c r="D37" s="6" t="s">
        <v>1759</v>
      </c>
    </row>
    <row r="38" customFormat="false" ht="15" hidden="false" customHeight="false" outlineLevel="0" collapsed="false">
      <c r="A38" s="6" t="s">
        <v>444</v>
      </c>
      <c r="B38" s="29" t="n">
        <v>0</v>
      </c>
      <c r="C38" s="6" t="s">
        <v>145</v>
      </c>
      <c r="D38" s="6" t="s">
        <v>1759</v>
      </c>
    </row>
    <row r="39" customFormat="false" ht="15" hidden="false" customHeight="false" outlineLevel="0" collapsed="false">
      <c r="A39" s="6" t="s">
        <v>473</v>
      </c>
      <c r="B39" s="29" t="n">
        <v>0</v>
      </c>
      <c r="C39" s="6" t="s">
        <v>145</v>
      </c>
      <c r="D39" s="6" t="s">
        <v>1759</v>
      </c>
    </row>
    <row r="40" customFormat="false" ht="15" hidden="false" customHeight="false" outlineLevel="0" collapsed="false">
      <c r="A40" s="6" t="s">
        <v>516</v>
      </c>
      <c r="B40" s="29" t="n">
        <v>0</v>
      </c>
      <c r="C40" s="6" t="s">
        <v>145</v>
      </c>
      <c r="D40" s="6" t="s">
        <v>1759</v>
      </c>
    </row>
    <row r="41" customFormat="false" ht="15" hidden="false" customHeight="false" outlineLevel="0" collapsed="false">
      <c r="A41" s="6" t="s">
        <v>522</v>
      </c>
      <c r="B41" s="29" t="n">
        <v>0</v>
      </c>
      <c r="C41" s="6" t="s">
        <v>145</v>
      </c>
      <c r="D41" s="6" t="s">
        <v>1759</v>
      </c>
    </row>
    <row r="42" customFormat="false" ht="15" hidden="false" customHeight="false" outlineLevel="0" collapsed="false">
      <c r="A42" s="6" t="s">
        <v>548</v>
      </c>
      <c r="B42" s="29" t="n">
        <v>0</v>
      </c>
      <c r="C42" s="6" t="s">
        <v>145</v>
      </c>
      <c r="D42" s="6" t="s">
        <v>1759</v>
      </c>
    </row>
    <row r="43" customFormat="false" ht="15" hidden="false" customHeight="false" outlineLevel="0" collapsed="false">
      <c r="A43" s="6" t="s">
        <v>572</v>
      </c>
      <c r="B43" s="29" t="n">
        <v>0</v>
      </c>
      <c r="C43" s="6" t="s">
        <v>145</v>
      </c>
      <c r="D43" s="6" t="s">
        <v>1759</v>
      </c>
    </row>
    <row r="44" customFormat="false" ht="15" hidden="false" customHeight="false" outlineLevel="0" collapsed="false">
      <c r="A44" s="6" t="s">
        <v>633</v>
      </c>
      <c r="B44" s="29" t="n">
        <v>0</v>
      </c>
      <c r="C44" s="6" t="s">
        <v>145</v>
      </c>
      <c r="D44" s="6" t="s">
        <v>1759</v>
      </c>
    </row>
    <row r="45" customFormat="false" ht="15" hidden="false" customHeight="false" outlineLevel="0" collapsed="false">
      <c r="A45" s="6" t="s">
        <v>638</v>
      </c>
      <c r="B45" s="29" t="n">
        <v>0</v>
      </c>
      <c r="C45" s="6" t="s">
        <v>145</v>
      </c>
      <c r="D45" s="6" t="s">
        <v>1759</v>
      </c>
    </row>
    <row r="46" customFormat="false" ht="15" hidden="false" customHeight="false" outlineLevel="0" collapsed="false">
      <c r="A46" s="6" t="s">
        <v>724</v>
      </c>
      <c r="B46" s="29" t="n">
        <v>0</v>
      </c>
      <c r="C46" s="6" t="s">
        <v>145</v>
      </c>
      <c r="D46" s="6" t="s">
        <v>1759</v>
      </c>
    </row>
    <row r="47" customFormat="false" ht="15" hidden="false" customHeight="false" outlineLevel="0" collapsed="false">
      <c r="A47" s="6" t="s">
        <v>758</v>
      </c>
      <c r="B47" s="29" t="n">
        <v>0</v>
      </c>
      <c r="C47" s="6" t="s">
        <v>757</v>
      </c>
      <c r="D47" s="6" t="s">
        <v>1761</v>
      </c>
    </row>
    <row r="48" customFormat="false" ht="15" hidden="false" customHeight="false" outlineLevel="0" collapsed="false">
      <c r="A48" s="6" t="s">
        <v>801</v>
      </c>
      <c r="B48" s="29" t="n">
        <v>0</v>
      </c>
      <c r="C48" s="6" t="s">
        <v>757</v>
      </c>
      <c r="D48" s="6" t="s">
        <v>1759</v>
      </c>
    </row>
    <row r="49" customFormat="false" ht="15" hidden="false" customHeight="false" outlineLevel="0" collapsed="false">
      <c r="A49" s="6" t="s">
        <v>1064</v>
      </c>
      <c r="B49" s="29" t="n">
        <v>0</v>
      </c>
      <c r="C49" s="6" t="s">
        <v>757</v>
      </c>
      <c r="D49" s="6" t="s">
        <v>1759</v>
      </c>
    </row>
    <row r="50" customFormat="false" ht="15" hidden="false" customHeight="false" outlineLevel="0" collapsed="false">
      <c r="A50" s="6" t="s">
        <v>1129</v>
      </c>
      <c r="B50" s="29" t="n">
        <v>0</v>
      </c>
      <c r="C50" s="6" t="s">
        <v>757</v>
      </c>
      <c r="D50" s="6" t="s">
        <v>1759</v>
      </c>
    </row>
    <row r="51" customFormat="false" ht="15" hidden="false" customHeight="false" outlineLevel="0" collapsed="false">
      <c r="A51" s="6" t="s">
        <v>1142</v>
      </c>
      <c r="B51" s="29" t="n">
        <v>0</v>
      </c>
      <c r="C51" s="6" t="s">
        <v>757</v>
      </c>
      <c r="D51" s="6" t="s">
        <v>1759</v>
      </c>
    </row>
    <row r="52" customFormat="false" ht="15" hidden="false" customHeight="false" outlineLevel="0" collapsed="false">
      <c r="A52" s="6" t="s">
        <v>1194</v>
      </c>
      <c r="B52" s="29" t="n">
        <v>0</v>
      </c>
      <c r="C52" s="6" t="s">
        <v>1193</v>
      </c>
      <c r="D52" s="6" t="s">
        <v>1759</v>
      </c>
    </row>
    <row r="53" customFormat="false" ht="15" hidden="false" customHeight="false" outlineLevel="0" collapsed="false">
      <c r="A53" s="6" t="s">
        <v>1237</v>
      </c>
      <c r="B53" s="29" t="n">
        <v>0</v>
      </c>
      <c r="C53" s="6" t="s">
        <v>1193</v>
      </c>
      <c r="D53" s="6" t="s">
        <v>1759</v>
      </c>
    </row>
    <row r="54" customFormat="false" ht="15" hidden="false" customHeight="false" outlineLevel="0" collapsed="false">
      <c r="A54" s="6" t="s">
        <v>1276</v>
      </c>
      <c r="B54" s="29" t="n">
        <v>0</v>
      </c>
      <c r="C54" s="6" t="s">
        <v>1193</v>
      </c>
      <c r="D54" s="6" t="s">
        <v>1759</v>
      </c>
    </row>
    <row r="55" customFormat="false" ht="15" hidden="false" customHeight="false" outlineLevel="0" collapsed="false">
      <c r="A55" s="6" t="s">
        <v>1309</v>
      </c>
      <c r="B55" s="29" t="n">
        <v>0</v>
      </c>
      <c r="C55" s="6" t="s">
        <v>1308</v>
      </c>
      <c r="D55" s="6" t="s">
        <v>1759</v>
      </c>
    </row>
    <row r="56" customFormat="false" ht="15" hidden="false" customHeight="false" outlineLevel="0" collapsed="false">
      <c r="A56" s="6" t="s">
        <v>1315</v>
      </c>
      <c r="B56" s="29" t="n">
        <v>0</v>
      </c>
      <c r="C56" s="6" t="s">
        <v>1308</v>
      </c>
      <c r="D56" s="6" t="s">
        <v>1759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2026-10-02T16:51:19Z</dcterms:created>
  <dc:creator>openpyxl</dc:creator>
  <dc:description/>
  <dc:language>en-US</dc:language>
  <cp:lastModifiedBy/>
  <dcterms:modified xsi:type="dcterms:W3CDTF">2026-10-02T16:51:20Z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